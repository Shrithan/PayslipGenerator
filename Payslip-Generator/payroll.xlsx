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ithan/Downloads/"/>
    </mc:Choice>
  </mc:AlternateContent>
  <xr:revisionPtr revIDLastSave="0" documentId="13_ncr:1_{4A8B30EE-EE33-C04D-BFB9-1B042BC44E0E}" xr6:coauthVersionLast="47" xr6:coauthVersionMax="47" xr10:uidLastSave="{00000000-0000-0000-0000-000000000000}"/>
  <bookViews>
    <workbookView xWindow="0" yWindow="0" windowWidth="38400" windowHeight="21600" xr2:uid="{373B1475-78C5-F245-8CB7-FE60A2780985}"/>
  </bookViews>
  <sheets>
    <sheet name="Salary paysheets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M4" i="1" s="1"/>
  <c r="N4" i="1" s="1"/>
  <c r="P4" i="1" s="1"/>
  <c r="T4" i="1"/>
  <c r="I5" i="1"/>
  <c r="M5" i="1" s="1"/>
  <c r="N5" i="1" s="1"/>
  <c r="T5" i="1"/>
  <c r="I6" i="1"/>
  <c r="M6" i="1" s="1"/>
  <c r="N6" i="1" s="1"/>
  <c r="T6" i="1"/>
  <c r="I7" i="1"/>
  <c r="M7" i="1" s="1"/>
  <c r="N7" i="1" s="1"/>
  <c r="T7" i="1"/>
  <c r="I8" i="1"/>
  <c r="M8" i="1" s="1"/>
  <c r="T8" i="1"/>
  <c r="I9" i="1"/>
  <c r="M9" i="1" s="1"/>
  <c r="T9" i="1"/>
  <c r="I10" i="1"/>
  <c r="M10" i="1"/>
  <c r="N10" i="1" s="1"/>
  <c r="P10" i="1" s="1"/>
  <c r="Q10" i="1" s="1"/>
  <c r="T10" i="1"/>
  <c r="I11" i="1"/>
  <c r="N11" i="1"/>
  <c r="T11" i="1"/>
  <c r="H12" i="1"/>
  <c r="K12" i="1"/>
  <c r="L12" i="1"/>
  <c r="O12" i="1"/>
  <c r="R12" i="1"/>
  <c r="V12" i="1"/>
  <c r="P5" i="1" l="1"/>
  <c r="N9" i="1"/>
  <c r="P9" i="1"/>
  <c r="P11" i="1"/>
  <c r="Q11" i="1" s="1"/>
  <c r="S11" i="1" s="1"/>
  <c r="Q5" i="1"/>
  <c r="S5" i="1" s="1"/>
  <c r="U5" i="1" s="1"/>
  <c r="W5" i="1" s="1"/>
  <c r="U10" i="1"/>
  <c r="U11" i="1"/>
  <c r="W11" i="1" s="1"/>
  <c r="P6" i="1"/>
  <c r="Q6" i="1" s="1"/>
  <c r="S6" i="1" s="1"/>
  <c r="U6" i="1" s="1"/>
  <c r="W6" i="1" s="1"/>
  <c r="I12" i="1"/>
  <c r="T12" i="1"/>
  <c r="P7" i="1"/>
  <c r="Q7" i="1" s="1"/>
  <c r="Q4" i="1"/>
  <c r="N8" i="1"/>
  <c r="N12" i="1" s="1"/>
  <c r="M12" i="1"/>
  <c r="Q9" i="1" l="1"/>
  <c r="S9" i="1" s="1"/>
  <c r="U9" i="1" s="1"/>
  <c r="W9" i="1" s="1"/>
  <c r="P8" i="1"/>
  <c r="Q8" i="1" s="1"/>
  <c r="S8" i="1" s="1"/>
  <c r="U8" i="1" s="1"/>
  <c r="W8" i="1" s="1"/>
  <c r="S4" i="1"/>
  <c r="U4" i="1" s="1"/>
  <c r="S7" i="1"/>
  <c r="U7" i="1" s="1"/>
  <c r="W7" i="1" s="1"/>
  <c r="Q12" i="1" l="1"/>
  <c r="P12" i="1"/>
  <c r="W4" i="1"/>
  <c r="W12" i="1" s="1"/>
  <c r="U12" i="1"/>
  <c r="S12" i="1"/>
</calcChain>
</file>

<file path=xl/sharedStrings.xml><?xml version="1.0" encoding="utf-8"?>
<sst xmlns="http://schemas.openxmlformats.org/spreadsheetml/2006/main" count="73" uniqueCount="66">
  <si>
    <t>S.No.</t>
  </si>
  <si>
    <t>Employee Code</t>
  </si>
  <si>
    <t>Employee Name</t>
  </si>
  <si>
    <t>CTC</t>
  </si>
  <si>
    <t>CTC per month for company</t>
  </si>
  <si>
    <t>Basic</t>
  </si>
  <si>
    <t>HRA</t>
  </si>
  <si>
    <t>Conveyance+Medical</t>
  </si>
  <si>
    <t>Special Allowance</t>
  </si>
  <si>
    <t>Net salary</t>
  </si>
  <si>
    <t>Loss Of Pay</t>
  </si>
  <si>
    <t>PT</t>
  </si>
  <si>
    <t>TDS</t>
  </si>
  <si>
    <t>Balance payable</t>
  </si>
  <si>
    <t>Paid</t>
  </si>
  <si>
    <t>Cum. Arrears</t>
  </si>
  <si>
    <t>PGS00035</t>
  </si>
  <si>
    <t>Naini Vasantha</t>
  </si>
  <si>
    <t>T-Chits</t>
  </si>
  <si>
    <t>PGS00038</t>
  </si>
  <si>
    <t>T Anusha</t>
  </si>
  <si>
    <t>PGS00049</t>
  </si>
  <si>
    <t>Nishith Kistammagari</t>
  </si>
  <si>
    <t>PGS00064</t>
  </si>
  <si>
    <t>Wiswa M</t>
  </si>
  <si>
    <t>Blockchain</t>
  </si>
  <si>
    <t>PGS00067</t>
  </si>
  <si>
    <t>Mounika Moola</t>
  </si>
  <si>
    <t>PGS00070</t>
  </si>
  <si>
    <t xml:space="preserve">V Sai Varun </t>
  </si>
  <si>
    <t>PGS00076</t>
  </si>
  <si>
    <t>Kalluri veena</t>
  </si>
  <si>
    <t>Testing</t>
  </si>
  <si>
    <t>PGS00077</t>
  </si>
  <si>
    <t>Gayathri Sri Lasya</t>
  </si>
  <si>
    <t>Department</t>
  </si>
  <si>
    <t>Calendar Days</t>
  </si>
  <si>
    <t>Loss Of Pay - No. of days (Absent Days)</t>
  </si>
  <si>
    <t>Designation</t>
  </si>
  <si>
    <t>Support Exec</t>
  </si>
  <si>
    <t>Lead Engineer</t>
  </si>
  <si>
    <t>Blockchain Developer</t>
  </si>
  <si>
    <t>SDE 1</t>
  </si>
  <si>
    <t>Test Analyst</t>
  </si>
  <si>
    <t>SDE 2</t>
  </si>
  <si>
    <t>Bank Details</t>
  </si>
  <si>
    <t>122910011040866/UBIN0812293</t>
  </si>
  <si>
    <t>77610100209662/UBIN0807761</t>
  </si>
  <si>
    <t>50100740489327/HDFC0009377</t>
  </si>
  <si>
    <t>50100740489330/HDFC0009377</t>
  </si>
  <si>
    <t>231710100045912/UBIN0823171</t>
  </si>
  <si>
    <t>41311486413/SBIN0010356</t>
  </si>
  <si>
    <t>50100642930678/HDFC0002081</t>
  </si>
  <si>
    <t>39721095032/SBIN0021452</t>
  </si>
  <si>
    <t xml:space="preserve">For the month of </t>
  </si>
  <si>
    <t>April 2025'</t>
  </si>
  <si>
    <t>Employee Mail</t>
  </si>
  <si>
    <t>nishith.kistammagari@outlook.com</t>
  </si>
  <si>
    <t>vassu.naini@gmail.com</t>
  </si>
  <si>
    <t xml:space="preserve">Thada882@gmail.com	 </t>
  </si>
  <si>
    <t xml:space="preserve">wiswa1412@gmail.com	 </t>
  </si>
  <si>
    <t>mounikareddymoola20@gmail.com</t>
  </si>
  <si>
    <t>vaisyasaivarun22@gmail.com</t>
  </si>
  <si>
    <t>veena.kalluri@pangeanglobal.com</t>
  </si>
  <si>
    <t>lasya.sighakolli@pangeanglobal.com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</si>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</sst>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  <numFmt numFmtId="166" formatCode="_(* #,##0.0_);_(* \(#,##0.0\);_(* &quot;-&quot;??_);_(@_)"/>
  </numFmts>
  <fonts count="6" x14ac:knownFonts="1">
    <font>
      <sz val="11"/>
      <color theme="1"/>
      <name val="Aptos Narrow"/>
      <scheme val="minor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u/>
      <sz val="11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rgb="FFBDD6EE"/>
      </patternFill>
    </fill>
    <fill>
      <patternFill patternType="solid">
        <fgColor theme="4" tint="0.59999389629810485"/>
        <bgColor rgb="FFB6DD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4" fontId="2" fillId="0" borderId="0" xfId="0" applyNumberFormat="1" applyFont="1"/>
    <xf numFmtId="17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7" fontId="2" fillId="3" borderId="1" xfId="0" applyNumberFormat="1" applyFont="1" applyFill="1" applyBorder="1"/>
    <xf numFmtId="0" fontId="2" fillId="3" borderId="1" xfId="0" applyFont="1" applyFill="1" applyBorder="1"/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165" fontId="4" fillId="0" borderId="0" xfId="0" applyNumberFormat="1" applyFont="1" applyAlignment="1">
      <alignment horizontal="right"/>
    </xf>
    <xf numFmtId="165" fontId="2" fillId="0" borderId="0" xfId="0" applyNumberFormat="1" applyFont="1"/>
    <xf numFmtId="43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7" fontId="2" fillId="0" borderId="0" xfId="0" applyNumberFormat="1" applyFont="1"/>
    <xf numFmtId="164" fontId="3" fillId="0" borderId="0" xfId="0" applyNumberFormat="1" applyFont="1" applyAlignment="1">
      <alignment horizontal="right"/>
    </xf>
    <xf numFmtId="164" fontId="1" fillId="0" borderId="0" xfId="0" applyNumberFormat="1" applyFont="1"/>
    <xf numFmtId="17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6" fontId="2" fillId="0" borderId="0" xfId="0" applyNumberFormat="1" applyFont="1"/>
    <xf numFmtId="43" fontId="2" fillId="0" borderId="0" xfId="0" applyNumberFormat="1" applyFont="1"/>
    <xf numFmtId="16" fontId="0" fillId="0" borderId="0" xfId="0" applyNumberFormat="1"/>
    <xf numFmtId="0" fontId="5" fillId="0" borderId="0" xfId="1"/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vanadipuram/Library/CloudStorage/GoogleDrive-pavan@chitmonks.com/My%20Drive/25%20Pangean%20Compliances%20-%20(FY25-26)/Pangean_Compliance%20sheet_FY%202025-26.xlsx" TargetMode="External"/><Relationship Id="rId1" Type="http://schemas.openxmlformats.org/officeDocument/2006/relationships/externalLinkPath" Target="/Users/pavanadipuram/Library/CloudStorage/GoogleDrive-pavan@chitmonks.com/My%20Drive/25%20Pangean%20Compliances%20-%20(FY25-26)/Pangean_Compliance%20sheet_FY%20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 Details"/>
      <sheetName val="Attendance sheet"/>
      <sheetName val="Reimbursements"/>
      <sheetName val="Compliance payments track"/>
      <sheetName val="Salary paysheets"/>
      <sheetName val="TDS Calculations_Salary"/>
      <sheetName val="TDS 194C - Rent"/>
      <sheetName val="TDS -194J - Consultants"/>
      <sheetName val="Outgoing Invoices"/>
      <sheetName val="TDS Calculations (old)"/>
      <sheetName val="HRA Calculations"/>
    </sheetNames>
    <sheetDataSet>
      <sheetData sheetId="0"/>
      <sheetData sheetId="1"/>
      <sheetData sheetId="2"/>
      <sheetData sheetId="3"/>
      <sheetData sheetId="4"/>
      <sheetData sheetId="5">
        <row r="16">
          <cell r="C16">
            <v>0</v>
          </cell>
          <cell r="D16">
            <v>0</v>
          </cell>
          <cell r="E16">
            <v>24375</v>
          </cell>
          <cell r="F16">
            <v>0</v>
          </cell>
          <cell r="G16">
            <v>0</v>
          </cell>
          <cell r="H16">
            <v>6825</v>
          </cell>
          <cell r="I16">
            <v>0</v>
          </cell>
          <cell r="J16">
            <v>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ssu.naini@gmail.com" TargetMode="External"/><Relationship Id="rId3" Type="http://schemas.openxmlformats.org/officeDocument/2006/relationships/hyperlink" Target="mailto:mounikareddymoola20@gmail.com" TargetMode="External"/><Relationship Id="rId7" Type="http://schemas.openxmlformats.org/officeDocument/2006/relationships/hyperlink" Target="mailto:nishith.kistammagari@outlook.com" TargetMode="External"/><Relationship Id="rId2" Type="http://schemas.openxmlformats.org/officeDocument/2006/relationships/hyperlink" Target="mailto:wiswa1412@gmail.com" TargetMode="External"/><Relationship Id="rId1" Type="http://schemas.openxmlformats.org/officeDocument/2006/relationships/hyperlink" Target="mailto:Thada882@gmail.com" TargetMode="External"/><Relationship Id="rId6" Type="http://schemas.openxmlformats.org/officeDocument/2006/relationships/hyperlink" Target="mailto:lasya.sighakolli@pangeanglobal.com" TargetMode="External"/><Relationship Id="rId5" Type="http://schemas.openxmlformats.org/officeDocument/2006/relationships/hyperlink" Target="mailto:veena.kalluri@pangeanglobal.com" TargetMode="External"/><Relationship Id="rId4" Type="http://schemas.openxmlformats.org/officeDocument/2006/relationships/hyperlink" Target="mailto:vaisyasaivarun22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1355-B143-EF4F-A6A4-8390913EB5AE}">
  <dimension ref="A1:AD928"/>
  <sheetViews>
    <sheetView showGridLines="0" tabSelected="1" zoomScale="149" zoomScaleNormal="157" workbookViewId="0">
      <selection activeCell="G15" sqref="G15"/>
    </sheetView>
  </sheetViews>
  <sheetFormatPr baseColWidth="10" defaultColWidth="12.6640625" defaultRowHeight="15" customHeight="1" x14ac:dyDescent="0.2"/>
  <cols>
    <col min="1" max="1" width="14.83203125" bestFit="1" customWidth="1"/>
    <col min="2" max="2" width="14.1640625" customWidth="1"/>
    <col min="3" max="3" width="23.83203125" customWidth="1"/>
    <col min="4" max="4" width="27.1640625" bestFit="1" customWidth="1"/>
    <col min="5" max="5" width="10.6640625" bestFit="1" customWidth="1"/>
    <col min="6" max="6" width="8.6640625" customWidth="1"/>
    <col min="7" max="7" width="25.33203125" bestFit="1" customWidth="1"/>
    <col min="8" max="8" width="11.1640625" customWidth="1"/>
    <col min="9" max="10" width="13.6640625" customWidth="1"/>
    <col min="11" max="11" width="16.33203125" customWidth="1"/>
    <col min="12" max="12" width="11.1640625" customWidth="1"/>
    <col min="13" max="14" width="8.83203125" customWidth="1"/>
    <col min="15" max="15" width="9.83203125" customWidth="1"/>
    <col min="16" max="16" width="16" customWidth="1"/>
    <col min="17" max="17" width="9.6640625" customWidth="1"/>
    <col min="18" max="18" width="10.6640625" customWidth="1"/>
    <col min="19" max="19" width="9.1640625" customWidth="1"/>
    <col min="20" max="20" width="10.5" customWidth="1"/>
    <col min="21" max="21" width="13.6640625" customWidth="1"/>
    <col min="22" max="22" width="8.83203125" customWidth="1"/>
    <col min="23" max="23" width="11.1640625" bestFit="1" customWidth="1"/>
    <col min="24" max="24" width="16.83203125" customWidth="1"/>
    <col min="25" max="25" width="21.1640625" customWidth="1"/>
    <col min="26" max="26" width="13.5" customWidth="1"/>
    <col min="28" max="28" width="14" customWidth="1"/>
  </cols>
  <sheetData>
    <row r="1" spans="1:30" ht="15" customHeight="1" x14ac:dyDescent="0.2">
      <c r="A1" s="1" t="s">
        <v>54</v>
      </c>
    </row>
    <row r="2" spans="1:30" x14ac:dyDescent="0.2">
      <c r="A2" s="36" t="s">
        <v>55</v>
      </c>
      <c r="B2" s="2"/>
      <c r="C2" s="2"/>
      <c r="D2" s="2"/>
      <c r="E2" s="2"/>
      <c r="F2" s="2"/>
      <c r="G2" s="2"/>
      <c r="H2" s="2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64" x14ac:dyDescent="0.2">
      <c r="A3" s="9" t="s">
        <v>0</v>
      </c>
      <c r="B3" s="10" t="s">
        <v>1</v>
      </c>
      <c r="C3" s="10" t="s">
        <v>2</v>
      </c>
      <c r="D3" s="10" t="s">
        <v>56</v>
      </c>
      <c r="E3" s="10" t="s">
        <v>38</v>
      </c>
      <c r="F3" s="10" t="s">
        <v>35</v>
      </c>
      <c r="G3" s="10" t="s">
        <v>45</v>
      </c>
      <c r="H3" s="10" t="s">
        <v>3</v>
      </c>
      <c r="I3" s="11" t="s">
        <v>4</v>
      </c>
      <c r="J3" s="11" t="s">
        <v>65</v>
      </c>
      <c r="K3" s="11" t="s">
        <v>36</v>
      </c>
      <c r="L3" s="12" t="s">
        <v>37</v>
      </c>
      <c r="M3" s="10" t="s">
        <v>5</v>
      </c>
      <c r="N3" s="10" t="s">
        <v>6</v>
      </c>
      <c r="O3" s="11" t="s">
        <v>7</v>
      </c>
      <c r="P3" s="10" t="s">
        <v>8</v>
      </c>
      <c r="Q3" s="10" t="s">
        <v>9</v>
      </c>
      <c r="R3" s="10" t="s">
        <v>10</v>
      </c>
      <c r="S3" s="10" t="s">
        <v>11</v>
      </c>
      <c r="T3" s="10" t="s">
        <v>12</v>
      </c>
      <c r="U3" s="10" t="s">
        <v>13</v>
      </c>
      <c r="V3" s="10" t="s">
        <v>14</v>
      </c>
      <c r="W3" s="3" t="s">
        <v>15</v>
      </c>
      <c r="X3" s="2"/>
      <c r="Y3" s="2"/>
      <c r="Z3" s="2"/>
      <c r="AA3" s="2"/>
      <c r="AB3" s="2"/>
      <c r="AC3" s="2"/>
      <c r="AD3" s="2"/>
    </row>
    <row r="4" spans="1:30" x14ac:dyDescent="0.2">
      <c r="A4" s="13">
        <v>2</v>
      </c>
      <c r="B4" s="14" t="s">
        <v>16</v>
      </c>
      <c r="C4" s="14" t="s">
        <v>17</v>
      </c>
      <c r="D4" s="37" t="s">
        <v>58</v>
      </c>
      <c r="E4" s="14" t="s">
        <v>39</v>
      </c>
      <c r="F4" s="4" t="s">
        <v>18</v>
      </c>
      <c r="G4" s="4" t="s">
        <v>46</v>
      </c>
      <c r="H4" s="15">
        <v>217800</v>
      </c>
      <c r="I4" s="15">
        <f>H4/12</f>
        <v>18150</v>
      </c>
      <c r="J4" s="15">
        <v>0</v>
      </c>
      <c r="K4" s="13">
        <v>30</v>
      </c>
      <c r="L4" s="16">
        <v>0</v>
      </c>
      <c r="M4" s="15">
        <f t="shared" ref="M4:M10" si="0">I4*40%</f>
        <v>7260</v>
      </c>
      <c r="N4" s="15">
        <f t="shared" ref="N4:N11" si="1">M4*40%</f>
        <v>2904</v>
      </c>
      <c r="O4" s="15">
        <v>3333</v>
      </c>
      <c r="P4" s="15">
        <f t="shared" ref="P4:P11" si="2">I4-SUM(M4:O4)</f>
        <v>4653</v>
      </c>
      <c r="Q4" s="15">
        <f t="shared" ref="Q4:Q11" si="3">M4+SUM(N4:P4)</f>
        <v>18150</v>
      </c>
      <c r="R4" s="15">
        <v>0</v>
      </c>
      <c r="S4" s="15">
        <f t="shared" ref="S4:S11" si="4">IF((Q4-R4)&gt;20001,200,IF((Q4-R4)&gt;15001,150,0))</f>
        <v>150</v>
      </c>
      <c r="T4" s="17">
        <f>'[1]TDS Calculations_Salary'!C16</f>
        <v>0</v>
      </c>
      <c r="U4" s="15">
        <f t="shared" ref="U4:U11" si="5">Q4-R4-S4-T4</f>
        <v>18000</v>
      </c>
      <c r="V4" s="15">
        <v>18000</v>
      </c>
      <c r="W4" s="5">
        <f t="shared" ref="W4:W11" si="6">U4-V4</f>
        <v>0</v>
      </c>
      <c r="X4" s="2"/>
      <c r="Y4" s="2"/>
      <c r="Z4" s="2"/>
      <c r="AA4" s="2"/>
      <c r="AB4" s="2"/>
      <c r="AC4" s="2"/>
      <c r="AD4" s="2"/>
    </row>
    <row r="5" spans="1:30" x14ac:dyDescent="0.2">
      <c r="A5" s="13">
        <v>3</v>
      </c>
      <c r="B5" s="14" t="s">
        <v>19</v>
      </c>
      <c r="C5" s="14" t="s">
        <v>20</v>
      </c>
      <c r="D5" s="38" t="s">
        <v>59</v>
      </c>
      <c r="E5" s="14" t="s">
        <v>39</v>
      </c>
      <c r="F5" s="4" t="s">
        <v>18</v>
      </c>
      <c r="G5" s="4" t="s">
        <v>47</v>
      </c>
      <c r="H5" s="15">
        <v>270000</v>
      </c>
      <c r="I5" s="15">
        <f>H5/12</f>
        <v>22500</v>
      </c>
      <c r="J5" s="15">
        <v>0</v>
      </c>
      <c r="K5" s="13">
        <v>30</v>
      </c>
      <c r="L5" s="16">
        <v>0</v>
      </c>
      <c r="M5" s="15">
        <f t="shared" si="0"/>
        <v>9000</v>
      </c>
      <c r="N5" s="15">
        <f t="shared" si="1"/>
        <v>3600</v>
      </c>
      <c r="O5" s="15">
        <v>3333</v>
      </c>
      <c r="P5" s="15">
        <f t="shared" si="2"/>
        <v>6567</v>
      </c>
      <c r="Q5" s="15">
        <f t="shared" si="3"/>
        <v>22500</v>
      </c>
      <c r="R5" s="15">
        <v>0</v>
      </c>
      <c r="S5" s="15">
        <f t="shared" si="4"/>
        <v>200</v>
      </c>
      <c r="T5" s="17">
        <f>'[1]TDS Calculations_Salary'!D16</f>
        <v>0</v>
      </c>
      <c r="U5" s="15">
        <f t="shared" si="5"/>
        <v>22300</v>
      </c>
      <c r="V5" s="15">
        <v>22300</v>
      </c>
      <c r="W5" s="5">
        <f t="shared" si="6"/>
        <v>0</v>
      </c>
      <c r="X5" s="2"/>
      <c r="Y5" s="2"/>
      <c r="Z5" s="2"/>
      <c r="AA5" s="2"/>
      <c r="AB5" s="2"/>
      <c r="AC5" s="2"/>
      <c r="AD5" s="2"/>
    </row>
    <row r="6" spans="1:30" x14ac:dyDescent="0.2">
      <c r="A6" s="13">
        <v>4</v>
      </c>
      <c r="B6" s="14" t="s">
        <v>21</v>
      </c>
      <c r="C6" s="14" t="s">
        <v>22</v>
      </c>
      <c r="D6" s="37" t="s">
        <v>57</v>
      </c>
      <c r="E6" s="14" t="s">
        <v>40</v>
      </c>
      <c r="F6" s="4" t="s">
        <v>18</v>
      </c>
      <c r="G6" s="4" t="s">
        <v>48</v>
      </c>
      <c r="H6" s="15">
        <v>2400000</v>
      </c>
      <c r="I6" s="15">
        <f>H6/12</f>
        <v>200000</v>
      </c>
      <c r="J6" s="15">
        <v>0</v>
      </c>
      <c r="K6" s="13">
        <v>30</v>
      </c>
      <c r="L6" s="16">
        <v>0</v>
      </c>
      <c r="M6" s="15">
        <f t="shared" si="0"/>
        <v>80000</v>
      </c>
      <c r="N6" s="15">
        <f t="shared" si="1"/>
        <v>32000</v>
      </c>
      <c r="O6" s="15">
        <v>3333</v>
      </c>
      <c r="P6" s="15">
        <f t="shared" si="2"/>
        <v>84667</v>
      </c>
      <c r="Q6" s="15">
        <f t="shared" si="3"/>
        <v>200000</v>
      </c>
      <c r="R6" s="15">
        <v>0</v>
      </c>
      <c r="S6" s="15">
        <f t="shared" si="4"/>
        <v>200</v>
      </c>
      <c r="T6" s="17">
        <f>'[1]TDS Calculations_Salary'!E16</f>
        <v>24375</v>
      </c>
      <c r="U6" s="15">
        <f t="shared" si="5"/>
        <v>175425</v>
      </c>
      <c r="V6" s="15">
        <v>175425</v>
      </c>
      <c r="W6" s="5">
        <f t="shared" si="6"/>
        <v>0</v>
      </c>
      <c r="X6" s="2"/>
      <c r="Y6" s="2"/>
      <c r="Z6" s="2"/>
      <c r="AA6" s="2"/>
      <c r="AB6" s="2"/>
      <c r="AC6" s="2"/>
      <c r="AD6" s="2"/>
    </row>
    <row r="7" spans="1:30" x14ac:dyDescent="0.2">
      <c r="A7" s="13">
        <v>5</v>
      </c>
      <c r="B7" s="14" t="s">
        <v>23</v>
      </c>
      <c r="C7" s="14" t="s">
        <v>24</v>
      </c>
      <c r="D7" s="38" t="s">
        <v>60</v>
      </c>
      <c r="E7" s="14" t="s">
        <v>41</v>
      </c>
      <c r="F7" s="4" t="s">
        <v>25</v>
      </c>
      <c r="G7" s="4" t="s">
        <v>49</v>
      </c>
      <c r="H7" s="15">
        <v>650000</v>
      </c>
      <c r="I7" s="15">
        <f>H7/12</f>
        <v>54166.666666666664</v>
      </c>
      <c r="J7" s="15">
        <v>0</v>
      </c>
      <c r="K7" s="13">
        <v>30</v>
      </c>
      <c r="L7" s="16">
        <v>0</v>
      </c>
      <c r="M7" s="15">
        <f t="shared" si="0"/>
        <v>21666.666666666668</v>
      </c>
      <c r="N7" s="15">
        <f t="shared" si="1"/>
        <v>8666.6666666666679</v>
      </c>
      <c r="O7" s="15">
        <v>3333</v>
      </c>
      <c r="P7" s="15">
        <f t="shared" si="2"/>
        <v>20500.333333333328</v>
      </c>
      <c r="Q7" s="15">
        <f t="shared" si="3"/>
        <v>54166.666666666664</v>
      </c>
      <c r="R7" s="15">
        <v>0</v>
      </c>
      <c r="S7" s="15">
        <f t="shared" si="4"/>
        <v>200</v>
      </c>
      <c r="T7" s="17">
        <f>'[1]TDS Calculations_Salary'!F16</f>
        <v>0</v>
      </c>
      <c r="U7" s="15">
        <f t="shared" si="5"/>
        <v>53966.666666666664</v>
      </c>
      <c r="V7" s="15">
        <v>53966.666666666664</v>
      </c>
      <c r="W7" s="5">
        <f t="shared" si="6"/>
        <v>0</v>
      </c>
      <c r="X7" s="2"/>
      <c r="Y7" s="2"/>
      <c r="Z7" s="2"/>
      <c r="AA7" s="2"/>
      <c r="AB7" s="2"/>
      <c r="AC7" s="2"/>
      <c r="AD7" s="2"/>
    </row>
    <row r="8" spans="1:30" x14ac:dyDescent="0.2">
      <c r="A8" s="13">
        <v>6</v>
      </c>
      <c r="B8" s="14" t="s">
        <v>26</v>
      </c>
      <c r="C8" s="14" t="s">
        <v>27</v>
      </c>
      <c r="D8" s="38" t="s">
        <v>61</v>
      </c>
      <c r="E8" s="14" t="s">
        <v>39</v>
      </c>
      <c r="F8" s="4" t="s">
        <v>18</v>
      </c>
      <c r="G8" s="4" t="s">
        <v>50</v>
      </c>
      <c r="H8" s="15">
        <v>217800</v>
      </c>
      <c r="I8" s="15">
        <f>H8/12</f>
        <v>18150</v>
      </c>
      <c r="J8" s="15">
        <v>0</v>
      </c>
      <c r="K8" s="13">
        <v>30</v>
      </c>
      <c r="L8" s="16">
        <v>0</v>
      </c>
      <c r="M8" s="15">
        <f t="shared" si="0"/>
        <v>7260</v>
      </c>
      <c r="N8" s="15">
        <f t="shared" si="1"/>
        <v>2904</v>
      </c>
      <c r="O8" s="15">
        <v>3333</v>
      </c>
      <c r="P8" s="15">
        <f t="shared" si="2"/>
        <v>4653</v>
      </c>
      <c r="Q8" s="15">
        <f t="shared" si="3"/>
        <v>18150</v>
      </c>
      <c r="R8" s="15">
        <v>0</v>
      </c>
      <c r="S8" s="15">
        <f t="shared" si="4"/>
        <v>150</v>
      </c>
      <c r="T8" s="17">
        <f>'[1]TDS Calculations_Salary'!G16</f>
        <v>0</v>
      </c>
      <c r="U8" s="15">
        <f t="shared" si="5"/>
        <v>18000</v>
      </c>
      <c r="V8" s="15">
        <v>18000</v>
      </c>
      <c r="W8" s="5">
        <f t="shared" si="6"/>
        <v>0</v>
      </c>
      <c r="X8" s="2"/>
      <c r="Y8" s="2"/>
      <c r="Z8" s="2"/>
      <c r="AA8" s="2"/>
      <c r="AB8" s="2"/>
      <c r="AC8" s="2"/>
      <c r="AD8" s="2"/>
    </row>
    <row r="9" spans="1:30" x14ac:dyDescent="0.2">
      <c r="A9" s="13">
        <v>7</v>
      </c>
      <c r="B9" s="14" t="s">
        <v>28</v>
      </c>
      <c r="C9" s="4" t="s">
        <v>29</v>
      </c>
      <c r="D9" s="38" t="s">
        <v>62</v>
      </c>
      <c r="E9" s="4" t="s">
        <v>44</v>
      </c>
      <c r="F9" s="4" t="s">
        <v>18</v>
      </c>
      <c r="G9" s="4" t="s">
        <v>51</v>
      </c>
      <c r="H9" s="17">
        <v>1400000</v>
      </c>
      <c r="I9" s="15">
        <f>H9/12</f>
        <v>116666.66666666667</v>
      </c>
      <c r="J9" s="15">
        <v>0</v>
      </c>
      <c r="K9" s="13">
        <v>30</v>
      </c>
      <c r="L9" s="16">
        <v>0</v>
      </c>
      <c r="M9" s="15">
        <f t="shared" si="0"/>
        <v>46666.666666666672</v>
      </c>
      <c r="N9" s="15">
        <f t="shared" si="1"/>
        <v>18666.666666666668</v>
      </c>
      <c r="O9" s="15">
        <v>3333</v>
      </c>
      <c r="P9" s="15">
        <f t="shared" si="2"/>
        <v>48000.333333333328</v>
      </c>
      <c r="Q9" s="15">
        <f t="shared" si="3"/>
        <v>116666.66666666667</v>
      </c>
      <c r="R9" s="15">
        <v>0</v>
      </c>
      <c r="S9" s="15">
        <f t="shared" si="4"/>
        <v>200</v>
      </c>
      <c r="T9" s="17">
        <f>'[1]TDS Calculations_Salary'!H16</f>
        <v>6825</v>
      </c>
      <c r="U9" s="15">
        <f t="shared" si="5"/>
        <v>109641.66666666667</v>
      </c>
      <c r="V9" s="15">
        <v>104800</v>
      </c>
      <c r="W9" s="5">
        <f t="shared" si="6"/>
        <v>4841.6666666666715</v>
      </c>
      <c r="X9" s="2"/>
      <c r="Y9" s="2"/>
      <c r="Z9" s="2"/>
      <c r="AA9" s="2"/>
      <c r="AB9" s="2"/>
      <c r="AC9" s="2"/>
      <c r="AD9" s="2"/>
    </row>
    <row r="10" spans="1:30" x14ac:dyDescent="0.2">
      <c r="A10" s="13">
        <v>8</v>
      </c>
      <c r="B10" s="14" t="s">
        <v>30</v>
      </c>
      <c r="C10" s="4" t="s">
        <v>31</v>
      </c>
      <c r="D10" s="38" t="s">
        <v>63</v>
      </c>
      <c r="E10" s="4" t="s">
        <v>43</v>
      </c>
      <c r="F10" s="4" t="s">
        <v>32</v>
      </c>
      <c r="G10" s="4" t="s">
        <v>52</v>
      </c>
      <c r="H10" s="7">
        <v>275000</v>
      </c>
      <c r="I10" s="6">
        <f>H10/12</f>
        <v>22916.666666666668</v>
      </c>
      <c r="J10" s="6">
        <v>0</v>
      </c>
      <c r="K10" s="13">
        <v>30</v>
      </c>
      <c r="L10" s="16">
        <v>0</v>
      </c>
      <c r="M10" s="7">
        <f t="shared" si="0"/>
        <v>9166.6666666666679</v>
      </c>
      <c r="N10" s="6">
        <f t="shared" si="1"/>
        <v>3666.6666666666674</v>
      </c>
      <c r="O10" s="6">
        <v>3333</v>
      </c>
      <c r="P10" s="6">
        <f t="shared" si="2"/>
        <v>6750.3333333333321</v>
      </c>
      <c r="Q10" s="6">
        <f t="shared" si="3"/>
        <v>22916.666666666668</v>
      </c>
      <c r="R10" s="15">
        <v>11828</v>
      </c>
      <c r="S10" s="6">
        <v>200</v>
      </c>
      <c r="T10" s="17">
        <f>'[1]TDS Calculations_Salary'!I16</f>
        <v>0</v>
      </c>
      <c r="U10" s="15">
        <f t="shared" si="5"/>
        <v>10888.666666666668</v>
      </c>
      <c r="V10" s="15">
        <v>10889</v>
      </c>
      <c r="W10" s="5"/>
      <c r="X10" s="2"/>
      <c r="Y10" s="2"/>
      <c r="Z10" s="2"/>
      <c r="AA10" s="2"/>
      <c r="AB10" s="2"/>
      <c r="AC10" s="2"/>
      <c r="AD10" s="2"/>
    </row>
    <row r="11" spans="1:30" x14ac:dyDescent="0.2">
      <c r="A11" s="13">
        <v>9</v>
      </c>
      <c r="B11" s="14" t="s">
        <v>33</v>
      </c>
      <c r="C11" s="4" t="s">
        <v>34</v>
      </c>
      <c r="D11" s="38" t="s">
        <v>64</v>
      </c>
      <c r="E11" s="4" t="s">
        <v>42</v>
      </c>
      <c r="F11" s="4" t="s">
        <v>18</v>
      </c>
      <c r="G11" s="4" t="s">
        <v>53</v>
      </c>
      <c r="H11" s="7">
        <v>550000</v>
      </c>
      <c r="I11" s="6">
        <f>H11/12</f>
        <v>45833.333333333336</v>
      </c>
      <c r="J11" s="6">
        <v>0</v>
      </c>
      <c r="K11" s="13">
        <v>30</v>
      </c>
      <c r="L11" s="16">
        <v>0</v>
      </c>
      <c r="M11" s="7">
        <v>18333.330000000002</v>
      </c>
      <c r="N11" s="6">
        <f t="shared" si="1"/>
        <v>7333.3320000000012</v>
      </c>
      <c r="O11" s="6">
        <v>3333</v>
      </c>
      <c r="P11" s="6">
        <f t="shared" si="2"/>
        <v>16833.671333333332</v>
      </c>
      <c r="Q11" s="6">
        <f t="shared" si="3"/>
        <v>45833.333333333336</v>
      </c>
      <c r="R11" s="15">
        <v>0</v>
      </c>
      <c r="S11" s="6">
        <f t="shared" si="4"/>
        <v>200</v>
      </c>
      <c r="T11" s="17">
        <f>'[1]TDS Calculations_Salary'!J16</f>
        <v>0</v>
      </c>
      <c r="U11" s="15">
        <f t="shared" si="5"/>
        <v>45633.333333333336</v>
      </c>
      <c r="V11" s="15">
        <v>45633.333333333336</v>
      </c>
      <c r="W11" s="5">
        <f t="shared" si="6"/>
        <v>0</v>
      </c>
      <c r="X11" s="2"/>
      <c r="Y11" s="2"/>
      <c r="Z11" s="2"/>
      <c r="AA11" s="2"/>
      <c r="AB11" s="2"/>
      <c r="AC11" s="2"/>
      <c r="AD11" s="2"/>
    </row>
    <row r="12" spans="1:30" x14ac:dyDescent="0.2">
      <c r="A12" s="18"/>
      <c r="B12" s="19"/>
      <c r="C12" s="19"/>
      <c r="D12" s="19"/>
      <c r="E12" s="19"/>
      <c r="F12" s="19"/>
      <c r="G12" s="19"/>
      <c r="H12" s="20">
        <f t="shared" ref="H12:W12" si="7">SUM(H4:H11)</f>
        <v>5980600</v>
      </c>
      <c r="I12" s="20">
        <f t="shared" si="7"/>
        <v>498383.33333333337</v>
      </c>
      <c r="J12" s="20">
        <v>0</v>
      </c>
      <c r="K12" s="20">
        <f t="shared" si="7"/>
        <v>240</v>
      </c>
      <c r="L12" s="20">
        <f t="shared" si="7"/>
        <v>0</v>
      </c>
      <c r="M12" s="20">
        <f t="shared" si="7"/>
        <v>199353.33000000002</v>
      </c>
      <c r="N12" s="20">
        <f t="shared" si="7"/>
        <v>79741.332000000009</v>
      </c>
      <c r="O12" s="20">
        <f t="shared" si="7"/>
        <v>26664</v>
      </c>
      <c r="P12" s="20">
        <f t="shared" si="7"/>
        <v>192624.67133333333</v>
      </c>
      <c r="Q12" s="20">
        <f t="shared" si="7"/>
        <v>498383.33333333337</v>
      </c>
      <c r="R12" s="20">
        <f t="shared" si="7"/>
        <v>11828</v>
      </c>
      <c r="S12" s="20">
        <f t="shared" si="7"/>
        <v>1500</v>
      </c>
      <c r="T12" s="20">
        <f t="shared" si="7"/>
        <v>31200</v>
      </c>
      <c r="U12" s="20">
        <f t="shared" si="7"/>
        <v>453855.33333333337</v>
      </c>
      <c r="V12" s="20">
        <f t="shared" si="7"/>
        <v>449014</v>
      </c>
      <c r="W12" s="20">
        <f t="shared" si="7"/>
        <v>4841.6666666666715</v>
      </c>
      <c r="X12" s="2"/>
      <c r="Y12" s="2"/>
      <c r="Z12" s="2"/>
      <c r="AA12" s="2"/>
      <c r="AB12" s="2"/>
      <c r="AC12" s="2"/>
      <c r="AD12" s="2"/>
    </row>
    <row r="13" spans="1:30" ht="15" customHeight="1" x14ac:dyDescent="0.2">
      <c r="A13" s="21"/>
      <c r="B13" s="22"/>
      <c r="C13" s="2"/>
      <c r="D13" s="2"/>
      <c r="E13" s="2"/>
      <c r="F13" s="2"/>
      <c r="G13" s="2"/>
      <c r="H13" s="23"/>
      <c r="I13" s="24"/>
      <c r="J13" s="24"/>
      <c r="K13" s="21"/>
      <c r="L13" s="25"/>
      <c r="M13" s="24"/>
      <c r="N13" s="24"/>
      <c r="O13" s="26"/>
      <c r="P13" s="26"/>
      <c r="Q13" s="26"/>
      <c r="R13" s="24"/>
      <c r="S13" s="26"/>
      <c r="T13" s="24"/>
      <c r="U13" s="8"/>
      <c r="V13" s="8"/>
      <c r="W13" s="2"/>
      <c r="X13" s="2"/>
      <c r="Y13" s="2"/>
      <c r="Z13" s="2"/>
      <c r="AA13" s="2"/>
      <c r="AB13" s="2"/>
      <c r="AC13" s="2"/>
      <c r="AD13" s="2"/>
    </row>
    <row r="14" spans="1:30" ht="15" customHeight="1" x14ac:dyDescent="0.2">
      <c r="A14" s="21"/>
      <c r="B14" s="22"/>
      <c r="C14" s="2"/>
      <c r="D14" s="2"/>
      <c r="E14" s="2"/>
      <c r="F14" s="2"/>
      <c r="G14" s="2"/>
      <c r="H14" s="23"/>
      <c r="I14" s="24"/>
      <c r="J14" s="24"/>
      <c r="K14" s="21"/>
      <c r="L14" s="25"/>
      <c r="M14" s="24"/>
      <c r="N14" s="24"/>
      <c r="O14" s="26"/>
      <c r="P14" s="26"/>
      <c r="Q14" s="26"/>
      <c r="R14" s="24"/>
      <c r="S14" s="26"/>
      <c r="T14" s="24"/>
      <c r="U14" s="8"/>
      <c r="V14" s="8"/>
      <c r="W14" s="2"/>
      <c r="X14" s="2"/>
      <c r="Y14" s="2"/>
      <c r="Z14" s="2"/>
      <c r="AA14" s="2"/>
      <c r="AB14" s="2"/>
      <c r="AC14" s="2"/>
      <c r="AD14" s="2"/>
    </row>
    <row r="15" spans="1:30" ht="15.75" customHeight="1" x14ac:dyDescent="0.2">
      <c r="A15" s="27"/>
      <c r="B15" s="2"/>
      <c r="C15" s="2"/>
      <c r="D15" s="2"/>
      <c r="E15" s="2"/>
      <c r="F15" s="2"/>
      <c r="G15" s="2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8"/>
      <c r="X15" s="8"/>
      <c r="Y15" s="2"/>
      <c r="Z15" s="2"/>
      <c r="AA15" s="2"/>
      <c r="AB15" s="2"/>
      <c r="AC15" s="2"/>
      <c r="AD15" s="2"/>
    </row>
    <row r="16" spans="1:30" ht="15.75" customHeight="1" x14ac:dyDescent="0.2">
      <c r="A16" s="1"/>
      <c r="B16" s="2"/>
      <c r="C16" s="2"/>
      <c r="D16" s="2"/>
      <c r="E16" s="2"/>
      <c r="F16" s="2"/>
      <c r="G16" s="2"/>
      <c r="H16" s="2"/>
      <c r="I16" s="1"/>
      <c r="J16" s="1"/>
      <c r="K16" s="1"/>
      <c r="L16" s="2"/>
      <c r="M16" s="2"/>
      <c r="N16" s="2"/>
      <c r="O16" s="2"/>
      <c r="P16" s="2"/>
      <c r="Q16" s="2"/>
      <c r="R16" s="2"/>
      <c r="S16" s="8"/>
      <c r="T16" s="2"/>
      <c r="U16" s="2"/>
      <c r="V16" s="2"/>
      <c r="W16" s="8"/>
      <c r="X16" s="2"/>
      <c r="Y16" s="2"/>
      <c r="Z16" s="2"/>
      <c r="AA16" s="2"/>
      <c r="AB16" s="2"/>
      <c r="AC16" s="2"/>
      <c r="AD16" s="2"/>
    </row>
    <row r="17" spans="1:30" ht="15.75" customHeight="1" x14ac:dyDescent="0.2">
      <c r="A17" s="1"/>
      <c r="B17" s="2"/>
      <c r="C17" s="2"/>
      <c r="D17" s="2"/>
      <c r="E17" s="2"/>
      <c r="F17" s="2"/>
      <c r="G17" s="2"/>
      <c r="H17" s="2"/>
      <c r="I17" s="1"/>
      <c r="J17" s="1"/>
      <c r="K17" s="1"/>
      <c r="L17" s="2"/>
      <c r="M17" s="2"/>
      <c r="N17" s="2"/>
      <c r="O17" s="2"/>
      <c r="P17" s="2"/>
      <c r="Q17" s="2"/>
      <c r="R17" s="2"/>
      <c r="S17" s="29"/>
      <c r="T17" s="1"/>
      <c r="U17" s="2"/>
      <c r="V17" s="2"/>
      <c r="W17" s="8"/>
      <c r="X17" s="2"/>
      <c r="Y17" s="2"/>
      <c r="Z17" s="2"/>
      <c r="AA17" s="2"/>
      <c r="AB17" s="2"/>
      <c r="AC17" s="2"/>
      <c r="AD17" s="2"/>
    </row>
    <row r="18" spans="1:30" ht="15.75" customHeight="1" x14ac:dyDescent="0.2">
      <c r="A18" s="1"/>
      <c r="B18" s="2"/>
      <c r="C18" s="2"/>
      <c r="D18" s="2"/>
      <c r="E18" s="2"/>
      <c r="F18" s="2"/>
      <c r="G18" s="2"/>
      <c r="H18" s="2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8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.75" customHeight="1" x14ac:dyDescent="0.2">
      <c r="A19" s="1"/>
      <c r="B19" s="2"/>
      <c r="C19" s="2"/>
      <c r="D19" s="2"/>
      <c r="E19" s="2"/>
      <c r="F19" s="2"/>
      <c r="G19" s="2"/>
      <c r="H19" s="2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5.75" customHeight="1" x14ac:dyDescent="0.2">
      <c r="A20" s="30"/>
      <c r="B20" s="31"/>
      <c r="C20" s="31"/>
      <c r="D20" s="31"/>
      <c r="E20" s="31"/>
      <c r="F20" s="31"/>
      <c r="G20" s="31"/>
      <c r="H20" s="31"/>
      <c r="I20" s="32"/>
      <c r="J20" s="32"/>
      <c r="K20" s="32"/>
      <c r="L20" s="33"/>
      <c r="M20" s="31"/>
      <c r="N20" s="31"/>
      <c r="O20" s="32"/>
      <c r="P20" s="31"/>
      <c r="Q20" s="31"/>
      <c r="R20" s="31"/>
      <c r="S20" s="31"/>
      <c r="T20" s="31"/>
      <c r="U20" s="31"/>
      <c r="V20" s="31"/>
      <c r="W20" s="2"/>
      <c r="X20" s="2"/>
      <c r="Y20" s="2"/>
      <c r="Z20" s="2"/>
      <c r="AA20" s="2"/>
      <c r="AB20" s="2"/>
      <c r="AC20" s="2"/>
      <c r="AD20" s="2"/>
    </row>
    <row r="21" spans="1:30" ht="15.75" customHeight="1" x14ac:dyDescent="0.2">
      <c r="A21" s="21"/>
      <c r="B21" s="22"/>
      <c r="C21" s="22"/>
      <c r="D21" s="22"/>
      <c r="E21" s="22"/>
      <c r="F21" s="22"/>
      <c r="G21" s="22"/>
      <c r="H21" s="26"/>
      <c r="I21" s="26"/>
      <c r="J21" s="26"/>
      <c r="K21" s="21"/>
      <c r="L21" s="25"/>
      <c r="M21" s="26"/>
      <c r="N21" s="26"/>
      <c r="O21" s="26"/>
      <c r="P21" s="26"/>
      <c r="Q21" s="26"/>
      <c r="R21" s="26"/>
      <c r="S21" s="26"/>
      <c r="T21" s="23"/>
      <c r="U21" s="8"/>
      <c r="V21" s="8"/>
      <c r="W21" s="2"/>
      <c r="X21" s="2"/>
      <c r="Y21" s="2"/>
      <c r="Z21" s="2"/>
      <c r="AA21" s="2"/>
      <c r="AB21" s="2"/>
      <c r="AC21" s="2"/>
      <c r="AD21" s="2"/>
    </row>
    <row r="22" spans="1:30" ht="15.75" customHeight="1" x14ac:dyDescent="0.2">
      <c r="A22" s="21"/>
      <c r="B22" s="22"/>
      <c r="C22" s="22"/>
      <c r="D22" s="22"/>
      <c r="E22" s="22"/>
      <c r="F22" s="22"/>
      <c r="G22" s="22"/>
      <c r="H22" s="26"/>
      <c r="I22" s="26"/>
      <c r="J22" s="26"/>
      <c r="K22" s="21"/>
      <c r="L22" s="25"/>
      <c r="M22" s="26"/>
      <c r="N22" s="26"/>
      <c r="O22" s="26"/>
      <c r="P22" s="26"/>
      <c r="Q22" s="26"/>
      <c r="R22" s="26"/>
      <c r="S22" s="26"/>
      <c r="T22" s="23"/>
      <c r="U22" s="8"/>
      <c r="V22" s="8"/>
      <c r="W22" s="2"/>
      <c r="X22" s="2"/>
      <c r="Y22" s="2"/>
      <c r="Z22" s="2"/>
      <c r="AA22" s="2"/>
      <c r="AB22" s="2"/>
      <c r="AC22" s="2"/>
      <c r="AD22" s="2"/>
    </row>
    <row r="23" spans="1:30" ht="15.75" customHeight="1" x14ac:dyDescent="0.2">
      <c r="A23" s="21"/>
      <c r="B23" s="22"/>
      <c r="C23" s="22"/>
      <c r="D23" s="22"/>
      <c r="E23" s="22"/>
      <c r="F23" s="22"/>
      <c r="G23" s="22"/>
      <c r="H23" s="26"/>
      <c r="I23" s="26"/>
      <c r="J23" s="26"/>
      <c r="K23" s="21"/>
      <c r="L23" s="25"/>
      <c r="M23" s="26"/>
      <c r="N23" s="26"/>
      <c r="O23" s="26"/>
      <c r="P23" s="26"/>
      <c r="Q23" s="26"/>
      <c r="R23" s="26"/>
      <c r="S23" s="26"/>
      <c r="T23" s="23"/>
      <c r="U23" s="8"/>
      <c r="V23" s="8"/>
      <c r="W23" s="2"/>
      <c r="X23" s="34"/>
      <c r="Y23" s="2"/>
      <c r="Z23" s="2"/>
      <c r="AA23" s="2"/>
      <c r="AB23" s="2"/>
      <c r="AC23" s="2"/>
      <c r="AD23" s="2"/>
    </row>
    <row r="24" spans="1:30" ht="15.75" customHeight="1" x14ac:dyDescent="0.2">
      <c r="A24" s="21"/>
      <c r="B24" s="22"/>
      <c r="C24" s="22"/>
      <c r="D24" s="22"/>
      <c r="E24" s="22"/>
      <c r="F24" s="22"/>
      <c r="G24" s="22"/>
      <c r="H24" s="26"/>
      <c r="I24" s="26"/>
      <c r="J24" s="26"/>
      <c r="K24" s="21"/>
      <c r="L24" s="25"/>
      <c r="M24" s="26"/>
      <c r="N24" s="26"/>
      <c r="O24" s="26"/>
      <c r="P24" s="26"/>
      <c r="Q24" s="26"/>
      <c r="R24" s="26"/>
      <c r="S24" s="26"/>
      <c r="T24" s="23"/>
      <c r="U24" s="8"/>
      <c r="V24" s="8"/>
      <c r="W24" s="2"/>
      <c r="X24" s="2"/>
      <c r="Y24" s="2"/>
      <c r="Z24" s="2"/>
      <c r="AA24" s="2"/>
      <c r="AB24" s="2"/>
      <c r="AC24" s="2"/>
      <c r="AD24" s="2"/>
    </row>
    <row r="25" spans="1:30" ht="15.75" customHeight="1" x14ac:dyDescent="0.2">
      <c r="A25" s="21"/>
      <c r="B25" s="22"/>
      <c r="C25" s="22"/>
      <c r="D25" s="22"/>
      <c r="E25" s="22"/>
      <c r="F25" s="22"/>
      <c r="G25" s="22"/>
      <c r="H25" s="26"/>
      <c r="I25" s="26"/>
      <c r="J25" s="26"/>
      <c r="K25" s="21"/>
      <c r="L25" s="25"/>
      <c r="M25" s="26"/>
      <c r="N25" s="26"/>
      <c r="O25" s="26"/>
      <c r="P25" s="26"/>
      <c r="Q25" s="26"/>
      <c r="R25" s="26"/>
      <c r="S25" s="26"/>
      <c r="T25" s="23"/>
      <c r="U25" s="8"/>
      <c r="V25" s="8"/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">
      <c r="A26" s="21"/>
      <c r="B26" s="22"/>
      <c r="C26" s="22"/>
      <c r="D26" s="22"/>
      <c r="E26" s="22"/>
      <c r="F26" s="22"/>
      <c r="G26" s="22"/>
      <c r="H26" s="26"/>
      <c r="I26" s="26"/>
      <c r="J26" s="26"/>
      <c r="K26" s="21"/>
      <c r="L26" s="25"/>
      <c r="M26" s="26"/>
      <c r="N26" s="26"/>
      <c r="O26" s="26"/>
      <c r="P26" s="26"/>
      <c r="Q26" s="26"/>
      <c r="R26" s="26"/>
      <c r="S26" s="26"/>
      <c r="T26" s="23"/>
      <c r="U26" s="8"/>
      <c r="V26" s="8"/>
      <c r="W26" s="8"/>
      <c r="X26" s="2"/>
      <c r="Y26" s="2"/>
      <c r="Z26" s="2"/>
      <c r="AA26" s="2"/>
      <c r="AB26" s="2"/>
      <c r="AC26" s="2"/>
      <c r="AD26" s="2"/>
    </row>
    <row r="27" spans="1:30" ht="15.75" customHeight="1" x14ac:dyDescent="0.2">
      <c r="A27" s="21"/>
      <c r="B27" s="22"/>
      <c r="C27" s="22"/>
      <c r="D27" s="22"/>
      <c r="E27" s="22"/>
      <c r="F27" s="22"/>
      <c r="G27" s="22"/>
      <c r="H27" s="26"/>
      <c r="I27" s="26"/>
      <c r="J27" s="26"/>
      <c r="K27" s="21"/>
      <c r="L27" s="25"/>
      <c r="M27" s="26"/>
      <c r="N27" s="26"/>
      <c r="O27" s="26"/>
      <c r="P27" s="26"/>
      <c r="Q27" s="26"/>
      <c r="R27" s="26"/>
      <c r="S27" s="26"/>
      <c r="T27" s="23"/>
      <c r="U27" s="8"/>
      <c r="V27" s="8"/>
      <c r="W27" s="2"/>
      <c r="X27" s="2"/>
      <c r="Y27" s="2"/>
      <c r="Z27" s="2"/>
      <c r="AA27" s="2"/>
      <c r="AB27" s="2"/>
      <c r="AC27" s="2"/>
      <c r="AD27" s="2"/>
    </row>
    <row r="28" spans="1:30" ht="15.75" customHeight="1" x14ac:dyDescent="0.2">
      <c r="A28" s="21"/>
      <c r="B28" s="22"/>
      <c r="C28" s="22"/>
      <c r="D28" s="22"/>
      <c r="E28" s="22"/>
      <c r="F28" s="22"/>
      <c r="G28" s="22"/>
      <c r="H28" s="26"/>
      <c r="I28" s="26"/>
      <c r="J28" s="26"/>
      <c r="K28" s="21"/>
      <c r="L28" s="25"/>
      <c r="M28" s="26"/>
      <c r="N28" s="26"/>
      <c r="O28" s="26"/>
      <c r="P28" s="26"/>
      <c r="Q28" s="26"/>
      <c r="R28" s="26"/>
      <c r="S28" s="26"/>
      <c r="T28" s="23"/>
      <c r="U28" s="8"/>
      <c r="V28" s="8"/>
      <c r="W28" s="8"/>
      <c r="X28" s="2"/>
      <c r="Y28" s="2"/>
      <c r="Z28" s="2"/>
      <c r="AA28" s="2"/>
      <c r="AB28" s="2"/>
      <c r="AC28" s="2"/>
      <c r="AD28" s="2"/>
    </row>
    <row r="29" spans="1:30" ht="15.75" customHeight="1" x14ac:dyDescent="0.2">
      <c r="A29" s="21"/>
      <c r="B29" s="22"/>
      <c r="C29" s="22"/>
      <c r="D29" s="22"/>
      <c r="E29" s="22"/>
      <c r="F29" s="22"/>
      <c r="G29" s="22"/>
      <c r="H29" s="26"/>
      <c r="I29" s="26"/>
      <c r="J29" s="26"/>
      <c r="K29" s="21"/>
      <c r="L29" s="25"/>
      <c r="M29" s="26"/>
      <c r="N29" s="26"/>
      <c r="O29" s="26"/>
      <c r="P29" s="26"/>
      <c r="Q29" s="26"/>
      <c r="R29" s="26"/>
      <c r="S29" s="26"/>
      <c r="T29" s="23"/>
      <c r="U29" s="8"/>
      <c r="V29" s="8"/>
      <c r="W29" s="2"/>
      <c r="X29" s="2"/>
      <c r="Y29" s="2"/>
      <c r="Z29" s="2"/>
      <c r="AA29" s="2"/>
      <c r="AB29" s="2"/>
      <c r="AC29" s="2"/>
      <c r="AD29" s="2"/>
    </row>
    <row r="30" spans="1:30" ht="15.75" customHeight="1" x14ac:dyDescent="0.2">
      <c r="A30" s="21"/>
      <c r="B30" s="22"/>
      <c r="C30" s="22"/>
      <c r="D30" s="22"/>
      <c r="E30" s="22"/>
      <c r="F30" s="22"/>
      <c r="G30" s="22"/>
      <c r="H30" s="26"/>
      <c r="I30" s="26"/>
      <c r="J30" s="26"/>
      <c r="K30" s="21"/>
      <c r="L30" s="25"/>
      <c r="M30" s="26"/>
      <c r="N30" s="26"/>
      <c r="O30" s="26"/>
      <c r="P30" s="26"/>
      <c r="Q30" s="26"/>
      <c r="R30" s="26"/>
      <c r="S30" s="26"/>
      <c r="T30" s="23"/>
      <c r="U30" s="8"/>
      <c r="V30" s="8"/>
      <c r="W30" s="2"/>
      <c r="X30" s="2"/>
      <c r="Y30" s="2"/>
      <c r="Z30" s="2"/>
      <c r="AA30" s="2"/>
      <c r="AB30" s="2"/>
      <c r="AC30" s="2"/>
      <c r="AD30" s="2"/>
    </row>
    <row r="31" spans="1:30" ht="15.75" customHeight="1" x14ac:dyDescent="0.2">
      <c r="A31" s="21"/>
      <c r="B31" s="22"/>
      <c r="C31" s="22"/>
      <c r="D31" s="22"/>
      <c r="E31" s="22"/>
      <c r="F31" s="22"/>
      <c r="G31" s="22"/>
      <c r="H31" s="26"/>
      <c r="I31" s="26"/>
      <c r="J31" s="26"/>
      <c r="K31" s="21"/>
      <c r="L31" s="25"/>
      <c r="M31" s="26"/>
      <c r="N31" s="26"/>
      <c r="O31" s="26"/>
      <c r="P31" s="26"/>
      <c r="Q31" s="26"/>
      <c r="R31" s="26"/>
      <c r="S31" s="26"/>
      <c r="T31" s="23"/>
      <c r="U31" s="8"/>
      <c r="V31" s="8"/>
      <c r="W31" s="2"/>
      <c r="X31" s="2"/>
      <c r="Y31" s="2"/>
      <c r="Z31" s="2"/>
      <c r="AA31" s="2"/>
      <c r="AB31" s="2"/>
      <c r="AC31" s="2"/>
      <c r="AD31" s="2"/>
    </row>
    <row r="32" spans="1:30" ht="15.75" customHeight="1" x14ac:dyDescent="0.2">
      <c r="A32" s="21"/>
      <c r="B32" s="22"/>
      <c r="C32" s="22"/>
      <c r="D32" s="22"/>
      <c r="E32" s="22"/>
      <c r="F32" s="22"/>
      <c r="G32" s="22"/>
      <c r="H32" s="26"/>
      <c r="I32" s="26"/>
      <c r="J32" s="26"/>
      <c r="K32" s="21"/>
      <c r="L32" s="25"/>
      <c r="M32" s="26"/>
      <c r="N32" s="26"/>
      <c r="O32" s="26"/>
      <c r="P32" s="26"/>
      <c r="Q32" s="26"/>
      <c r="R32" s="26"/>
      <c r="S32" s="26"/>
      <c r="T32" s="23"/>
      <c r="U32" s="8"/>
      <c r="V32" s="8"/>
      <c r="W32" s="2"/>
      <c r="X32" s="2"/>
      <c r="Y32" s="2"/>
      <c r="Z32" s="2"/>
      <c r="AA32" s="2"/>
      <c r="AB32" s="2"/>
      <c r="AC32" s="2"/>
      <c r="AD32" s="2"/>
    </row>
    <row r="33" spans="1:30" ht="15" customHeight="1" x14ac:dyDescent="0.2">
      <c r="A33" s="21"/>
      <c r="B33" s="22"/>
      <c r="C33" s="2"/>
      <c r="D33" s="2"/>
      <c r="E33" s="2"/>
      <c r="F33" s="2"/>
      <c r="G33" s="2"/>
      <c r="H33" s="23"/>
      <c r="I33" s="24"/>
      <c r="J33" s="24"/>
      <c r="K33" s="21"/>
      <c r="L33" s="24"/>
      <c r="M33" s="24"/>
      <c r="N33" s="24"/>
      <c r="O33" s="26"/>
      <c r="P33" s="26"/>
      <c r="Q33" s="26"/>
      <c r="R33" s="24"/>
      <c r="S33" s="24"/>
      <c r="T33" s="24"/>
      <c r="U33" s="8"/>
      <c r="V33" s="8"/>
      <c r="W33" s="2"/>
      <c r="X33" s="2"/>
      <c r="Y33" s="2"/>
      <c r="Z33" s="2"/>
      <c r="AA33" s="2"/>
      <c r="AB33" s="2"/>
      <c r="AC33" s="2"/>
      <c r="AD33" s="2"/>
    </row>
    <row r="34" spans="1:30" ht="15" customHeight="1" x14ac:dyDescent="0.2">
      <c r="A34" s="21"/>
      <c r="B34" s="22"/>
      <c r="C34" s="2"/>
      <c r="D34" s="2"/>
      <c r="E34" s="2"/>
      <c r="F34" s="2"/>
      <c r="G34" s="2"/>
      <c r="H34" s="23"/>
      <c r="I34" s="24"/>
      <c r="J34" s="24"/>
      <c r="K34" s="21"/>
      <c r="L34" s="25"/>
      <c r="M34" s="24"/>
      <c r="N34" s="24"/>
      <c r="O34" s="26"/>
      <c r="P34" s="26"/>
      <c r="Q34" s="26"/>
      <c r="R34" s="24"/>
      <c r="S34" s="24"/>
      <c r="T34" s="24"/>
      <c r="U34" s="8"/>
      <c r="V34" s="8"/>
      <c r="W34" s="2"/>
      <c r="X34" s="2"/>
      <c r="Y34" s="2"/>
      <c r="Z34" s="2"/>
      <c r="AA34" s="2"/>
      <c r="AB34" s="2"/>
      <c r="AC34" s="2"/>
      <c r="AD34" s="2"/>
    </row>
    <row r="35" spans="1:30" ht="15" customHeight="1" x14ac:dyDescent="0.2">
      <c r="A35" s="21"/>
      <c r="B35" s="22"/>
      <c r="C35" s="2"/>
      <c r="D35" s="2"/>
      <c r="E35" s="2"/>
      <c r="F35" s="2"/>
      <c r="G35" s="2"/>
      <c r="H35" s="23"/>
      <c r="I35" s="24"/>
      <c r="J35" s="24"/>
      <c r="K35" s="21"/>
      <c r="L35" s="25"/>
      <c r="M35" s="24"/>
      <c r="N35" s="24"/>
      <c r="O35" s="26"/>
      <c r="P35" s="26"/>
      <c r="Q35" s="26"/>
      <c r="R35" s="24"/>
      <c r="S35" s="24"/>
      <c r="T35" s="24"/>
      <c r="U35" s="8"/>
      <c r="V35" s="8"/>
      <c r="W35" s="2"/>
      <c r="X35" s="2"/>
      <c r="Y35" s="2"/>
      <c r="Z35" s="2"/>
      <c r="AA35" s="2"/>
      <c r="AB35" s="2"/>
      <c r="AC35" s="2"/>
      <c r="AD35" s="2"/>
    </row>
    <row r="36" spans="1:30" ht="15" customHeight="1" x14ac:dyDescent="0.2">
      <c r="A36" s="21"/>
      <c r="B36" s="22"/>
      <c r="C36" s="2"/>
      <c r="D36" s="2"/>
      <c r="E36" s="2"/>
      <c r="F36" s="2"/>
      <c r="G36" s="2"/>
      <c r="H36" s="23"/>
      <c r="I36" s="24"/>
      <c r="J36" s="24"/>
      <c r="K36" s="21"/>
      <c r="L36" s="25"/>
      <c r="M36" s="24"/>
      <c r="N36" s="24"/>
      <c r="O36" s="26"/>
      <c r="P36" s="26"/>
      <c r="Q36" s="26"/>
      <c r="R36" s="24"/>
      <c r="S36" s="24"/>
      <c r="T36" s="24"/>
      <c r="U36" s="8"/>
      <c r="V36" s="8"/>
      <c r="W36" s="2"/>
      <c r="X36" s="2"/>
      <c r="Y36" s="2"/>
      <c r="Z36" s="2"/>
      <c r="AA36" s="2"/>
      <c r="AB36" s="2"/>
      <c r="AC36" s="2"/>
      <c r="AD36" s="2"/>
    </row>
    <row r="37" spans="1:30" ht="15.75" customHeight="1" x14ac:dyDescent="0.2">
      <c r="A37" s="27"/>
      <c r="B37" s="2"/>
      <c r="C37" s="2"/>
      <c r="D37" s="2"/>
      <c r="E37" s="2"/>
      <c r="F37" s="2"/>
      <c r="G37" s="2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"/>
      <c r="X37" s="2"/>
      <c r="Y37" s="2"/>
      <c r="Z37" s="2"/>
      <c r="AA37" s="2"/>
      <c r="AB37" s="2"/>
      <c r="AC37" s="2"/>
      <c r="AD37" s="2"/>
    </row>
    <row r="38" spans="1:30" ht="15.75" customHeight="1" x14ac:dyDescent="0.2">
      <c r="A38" s="1"/>
      <c r="B38" s="2"/>
      <c r="C38" s="2"/>
      <c r="D38" s="2"/>
      <c r="E38" s="2"/>
      <c r="F38" s="2"/>
      <c r="G38" s="2"/>
      <c r="H38" s="2"/>
      <c r="I38" s="1"/>
      <c r="J38" s="1"/>
      <c r="K38" s="1"/>
      <c r="L38" s="2"/>
      <c r="M38" s="2"/>
      <c r="N38" s="2"/>
      <c r="O38" s="2"/>
      <c r="P38" s="2"/>
      <c r="Q38" s="2"/>
      <c r="R38" s="2"/>
      <c r="S38" s="8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 x14ac:dyDescent="0.2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2"/>
      <c r="M39" s="2"/>
      <c r="N39" s="2"/>
      <c r="O39" s="2"/>
      <c r="P39" s="2"/>
      <c r="Q39" s="2"/>
      <c r="R39" s="2"/>
      <c r="S39" s="29"/>
      <c r="T39" s="1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 x14ac:dyDescent="0.2">
      <c r="A40" s="2"/>
      <c r="B40" s="2"/>
      <c r="C40" s="2"/>
      <c r="D40" s="2"/>
      <c r="E40" s="2"/>
      <c r="F40" s="2"/>
      <c r="G40" s="2"/>
      <c r="H40" s="2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 x14ac:dyDescent="0.2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 x14ac:dyDescent="0.2">
      <c r="A42" s="30"/>
      <c r="B42" s="31"/>
      <c r="C42" s="31"/>
      <c r="D42" s="31"/>
      <c r="E42" s="31"/>
      <c r="F42" s="31"/>
      <c r="G42" s="31"/>
      <c r="H42" s="31"/>
      <c r="I42" s="32"/>
      <c r="J42" s="32"/>
      <c r="K42" s="32"/>
      <c r="L42" s="33"/>
      <c r="M42" s="31"/>
      <c r="N42" s="31"/>
      <c r="O42" s="32"/>
      <c r="P42" s="31"/>
      <c r="Q42" s="31"/>
      <c r="R42" s="31"/>
      <c r="S42" s="31"/>
      <c r="T42" s="31"/>
      <c r="U42" s="31"/>
      <c r="V42" s="31"/>
      <c r="W42" s="2"/>
      <c r="X42" s="2"/>
      <c r="Y42" s="2"/>
      <c r="Z42" s="2"/>
      <c r="AA42" s="2"/>
      <c r="AB42" s="2"/>
      <c r="AC42" s="2"/>
      <c r="AD42" s="2"/>
    </row>
    <row r="43" spans="1:30" ht="15.75" customHeight="1" x14ac:dyDescent="0.2">
      <c r="A43" s="21"/>
      <c r="B43" s="22"/>
      <c r="C43" s="22"/>
      <c r="D43" s="22"/>
      <c r="E43" s="22"/>
      <c r="F43" s="22"/>
      <c r="G43" s="22"/>
      <c r="H43" s="26"/>
      <c r="I43" s="26"/>
      <c r="J43" s="26"/>
      <c r="K43" s="21"/>
      <c r="L43" s="25"/>
      <c r="M43" s="26"/>
      <c r="N43" s="26"/>
      <c r="O43" s="26"/>
      <c r="P43" s="26"/>
      <c r="Q43" s="26"/>
      <c r="R43" s="26"/>
      <c r="S43" s="26"/>
      <c r="T43" s="23"/>
      <c r="U43" s="8"/>
      <c r="V43" s="8"/>
      <c r="W43" s="2"/>
      <c r="X43" s="2"/>
      <c r="Y43" s="2"/>
      <c r="Z43" s="2"/>
      <c r="AA43" s="2"/>
      <c r="AB43" s="2"/>
      <c r="AC43" s="2"/>
      <c r="AD43" s="2"/>
    </row>
    <row r="44" spans="1:30" ht="15.75" customHeight="1" x14ac:dyDescent="0.2">
      <c r="A44" s="21"/>
      <c r="B44" s="22"/>
      <c r="C44" s="22"/>
      <c r="D44" s="22"/>
      <c r="E44" s="22"/>
      <c r="F44" s="22"/>
      <c r="G44" s="22"/>
      <c r="H44" s="26"/>
      <c r="I44" s="26"/>
      <c r="J44" s="26"/>
      <c r="K44" s="21"/>
      <c r="L44" s="25"/>
      <c r="M44" s="26"/>
      <c r="N44" s="26"/>
      <c r="O44" s="26"/>
      <c r="P44" s="26"/>
      <c r="Q44" s="26"/>
      <c r="R44" s="26"/>
      <c r="S44" s="26"/>
      <c r="T44" s="23"/>
      <c r="U44" s="8"/>
      <c r="V44" s="8"/>
      <c r="W44" s="2"/>
      <c r="X44" s="2"/>
      <c r="Y44" s="2"/>
      <c r="Z44" s="2"/>
      <c r="AA44" s="2"/>
      <c r="AB44" s="2"/>
      <c r="AC44" s="2"/>
      <c r="AD44" s="2"/>
    </row>
    <row r="45" spans="1:30" ht="15.75" customHeight="1" x14ac:dyDescent="0.2">
      <c r="A45" s="21"/>
      <c r="B45" s="22"/>
      <c r="C45" s="22"/>
      <c r="D45" s="22"/>
      <c r="E45" s="22"/>
      <c r="F45" s="22"/>
      <c r="G45" s="22"/>
      <c r="H45" s="26"/>
      <c r="I45" s="26"/>
      <c r="J45" s="26"/>
      <c r="K45" s="21"/>
      <c r="L45" s="25"/>
      <c r="M45" s="26"/>
      <c r="N45" s="26"/>
      <c r="O45" s="26"/>
      <c r="P45" s="26"/>
      <c r="Q45" s="26"/>
      <c r="R45" s="26"/>
      <c r="S45" s="26"/>
      <c r="T45" s="23"/>
      <c r="U45" s="8"/>
      <c r="V45" s="8"/>
      <c r="W45" s="2"/>
      <c r="X45" s="34"/>
      <c r="Y45" s="2"/>
      <c r="Z45" s="2"/>
      <c r="AA45" s="2"/>
      <c r="AB45" s="2"/>
      <c r="AC45" s="2"/>
      <c r="AD45" s="2"/>
    </row>
    <row r="46" spans="1:30" ht="15.75" customHeight="1" x14ac:dyDescent="0.2">
      <c r="A46" s="21"/>
      <c r="B46" s="22"/>
      <c r="C46" s="22"/>
      <c r="D46" s="22"/>
      <c r="E46" s="22"/>
      <c r="F46" s="22"/>
      <c r="G46" s="22"/>
      <c r="H46" s="26"/>
      <c r="I46" s="26"/>
      <c r="J46" s="26"/>
      <c r="K46" s="21"/>
      <c r="L46" s="25"/>
      <c r="M46" s="26"/>
      <c r="N46" s="26"/>
      <c r="O46" s="26"/>
      <c r="P46" s="26"/>
      <c r="Q46" s="26"/>
      <c r="R46" s="26"/>
      <c r="S46" s="26"/>
      <c r="T46" s="23"/>
      <c r="U46" s="8"/>
      <c r="V46" s="8"/>
      <c r="W46" s="2"/>
      <c r="X46" s="2"/>
      <c r="Y46" s="2"/>
      <c r="Z46" s="2"/>
      <c r="AA46" s="2"/>
      <c r="AB46" s="2"/>
      <c r="AC46" s="2"/>
      <c r="AD46" s="2"/>
    </row>
    <row r="47" spans="1:30" ht="15.75" customHeight="1" x14ac:dyDescent="0.2">
      <c r="A47" s="21"/>
      <c r="B47" s="22"/>
      <c r="C47" s="22"/>
      <c r="D47" s="22"/>
      <c r="E47" s="22"/>
      <c r="F47" s="22"/>
      <c r="G47" s="22"/>
      <c r="H47" s="26"/>
      <c r="I47" s="26"/>
      <c r="J47" s="26"/>
      <c r="K47" s="21"/>
      <c r="L47" s="25"/>
      <c r="M47" s="26"/>
      <c r="N47" s="26"/>
      <c r="O47" s="26"/>
      <c r="P47" s="26"/>
      <c r="Q47" s="26"/>
      <c r="R47" s="26"/>
      <c r="S47" s="26"/>
      <c r="T47" s="23"/>
      <c r="U47" s="8"/>
      <c r="V47" s="8"/>
      <c r="W47" s="2"/>
      <c r="X47" s="2"/>
      <c r="Y47" s="2"/>
      <c r="Z47" s="2"/>
      <c r="AA47" s="2"/>
      <c r="AB47" s="2"/>
      <c r="AC47" s="2"/>
      <c r="AD47" s="2"/>
    </row>
    <row r="48" spans="1:30" ht="15.75" customHeight="1" x14ac:dyDescent="0.2">
      <c r="A48" s="21"/>
      <c r="B48" s="22"/>
      <c r="C48" s="22"/>
      <c r="D48" s="22"/>
      <c r="E48" s="22"/>
      <c r="F48" s="22"/>
      <c r="G48" s="22"/>
      <c r="H48" s="26"/>
      <c r="I48" s="26"/>
      <c r="J48" s="26"/>
      <c r="K48" s="21"/>
      <c r="L48" s="25"/>
      <c r="M48" s="26"/>
      <c r="N48" s="26"/>
      <c r="O48" s="26"/>
      <c r="P48" s="26"/>
      <c r="Q48" s="26"/>
      <c r="R48" s="26"/>
      <c r="S48" s="26"/>
      <c r="T48" s="23"/>
      <c r="U48" s="8"/>
      <c r="V48" s="8"/>
      <c r="W48" s="8"/>
      <c r="X48" s="2"/>
      <c r="Y48" s="2"/>
      <c r="Z48" s="2"/>
      <c r="AA48" s="2"/>
      <c r="AB48" s="2"/>
      <c r="AC48" s="2"/>
      <c r="AD48" s="2"/>
    </row>
    <row r="49" spans="1:30" ht="15.75" customHeight="1" x14ac:dyDescent="0.2">
      <c r="A49" s="21"/>
      <c r="B49" s="22"/>
      <c r="C49" s="22"/>
      <c r="D49" s="22"/>
      <c r="E49" s="22"/>
      <c r="F49" s="22"/>
      <c r="G49" s="22"/>
      <c r="H49" s="26"/>
      <c r="I49" s="26"/>
      <c r="J49" s="26"/>
      <c r="K49" s="21"/>
      <c r="L49" s="25"/>
      <c r="M49" s="26"/>
      <c r="N49" s="26"/>
      <c r="O49" s="26"/>
      <c r="P49" s="26"/>
      <c r="Q49" s="26"/>
      <c r="R49" s="26"/>
      <c r="S49" s="26"/>
      <c r="T49" s="23"/>
      <c r="U49" s="8"/>
      <c r="V49" s="8"/>
      <c r="W49" s="2"/>
      <c r="X49" s="2"/>
      <c r="Y49" s="2"/>
      <c r="Z49" s="2"/>
      <c r="AA49" s="2"/>
      <c r="AB49" s="2"/>
      <c r="AC49" s="2"/>
      <c r="AD49" s="2"/>
    </row>
    <row r="50" spans="1:30" ht="15.75" customHeight="1" x14ac:dyDescent="0.2">
      <c r="A50" s="21"/>
      <c r="B50" s="22"/>
      <c r="C50" s="22"/>
      <c r="D50" s="22"/>
      <c r="E50" s="22"/>
      <c r="F50" s="22"/>
      <c r="G50" s="22"/>
      <c r="H50" s="26"/>
      <c r="I50" s="26"/>
      <c r="J50" s="26"/>
      <c r="K50" s="21"/>
      <c r="L50" s="25"/>
      <c r="M50" s="26"/>
      <c r="N50" s="26"/>
      <c r="O50" s="26"/>
      <c r="P50" s="26"/>
      <c r="Q50" s="26"/>
      <c r="R50" s="26"/>
      <c r="S50" s="26"/>
      <c r="T50" s="23"/>
      <c r="U50" s="8"/>
      <c r="V50" s="8"/>
      <c r="W50" s="8"/>
      <c r="X50" s="2"/>
      <c r="Y50" s="2"/>
      <c r="Z50" s="2"/>
      <c r="AA50" s="2"/>
      <c r="AB50" s="2"/>
      <c r="AC50" s="2"/>
      <c r="AD50" s="2"/>
    </row>
    <row r="51" spans="1:30" ht="15.75" customHeight="1" x14ac:dyDescent="0.2">
      <c r="A51" s="21"/>
      <c r="B51" s="22"/>
      <c r="C51" s="22"/>
      <c r="D51" s="22"/>
      <c r="E51" s="22"/>
      <c r="F51" s="22"/>
      <c r="G51" s="22"/>
      <c r="H51" s="26"/>
      <c r="I51" s="26"/>
      <c r="J51" s="26"/>
      <c r="K51" s="21"/>
      <c r="L51" s="25"/>
      <c r="M51" s="26"/>
      <c r="N51" s="26"/>
      <c r="O51" s="26"/>
      <c r="P51" s="26"/>
      <c r="Q51" s="26"/>
      <c r="R51" s="26"/>
      <c r="S51" s="26"/>
      <c r="T51" s="23"/>
      <c r="U51" s="8"/>
      <c r="V51" s="8"/>
      <c r="W51" s="2"/>
      <c r="X51" s="2"/>
      <c r="Y51" s="2"/>
      <c r="Z51" s="2"/>
      <c r="AA51" s="2"/>
      <c r="AB51" s="2"/>
      <c r="AC51" s="2"/>
      <c r="AD51" s="2"/>
    </row>
    <row r="52" spans="1:30" ht="15.75" customHeight="1" x14ac:dyDescent="0.2">
      <c r="A52" s="21"/>
      <c r="B52" s="22"/>
      <c r="C52" s="22"/>
      <c r="D52" s="22"/>
      <c r="E52" s="22"/>
      <c r="F52" s="22"/>
      <c r="G52" s="22"/>
      <c r="H52" s="26"/>
      <c r="I52" s="26"/>
      <c r="J52" s="26"/>
      <c r="K52" s="21"/>
      <c r="L52" s="25"/>
      <c r="M52" s="26"/>
      <c r="N52" s="26"/>
      <c r="O52" s="26"/>
      <c r="P52" s="26"/>
      <c r="Q52" s="26"/>
      <c r="R52" s="26"/>
      <c r="S52" s="26"/>
      <c r="T52" s="23"/>
      <c r="U52" s="8"/>
      <c r="V52" s="8"/>
      <c r="W52" s="2"/>
      <c r="X52" s="2"/>
      <c r="Y52" s="2"/>
      <c r="Z52" s="2"/>
      <c r="AA52" s="2"/>
      <c r="AB52" s="2"/>
      <c r="AC52" s="2"/>
      <c r="AD52" s="2"/>
    </row>
    <row r="53" spans="1:30" ht="15.75" customHeight="1" x14ac:dyDescent="0.2">
      <c r="A53" s="21"/>
      <c r="B53" s="22"/>
      <c r="C53" s="22"/>
      <c r="D53" s="22"/>
      <c r="E53" s="22"/>
      <c r="F53" s="22"/>
      <c r="G53" s="22"/>
      <c r="H53" s="26"/>
      <c r="I53" s="26"/>
      <c r="J53" s="26"/>
      <c r="K53" s="21"/>
      <c r="L53" s="25"/>
      <c r="M53" s="26"/>
      <c r="N53" s="26"/>
      <c r="O53" s="26"/>
      <c r="P53" s="26"/>
      <c r="Q53" s="26"/>
      <c r="R53" s="26"/>
      <c r="S53" s="26"/>
      <c r="T53" s="23"/>
      <c r="U53" s="8"/>
      <c r="V53" s="8"/>
      <c r="W53" s="2"/>
      <c r="X53" s="2"/>
      <c r="Y53" s="2"/>
      <c r="Z53" s="2"/>
      <c r="AA53" s="2"/>
      <c r="AB53" s="2"/>
      <c r="AC53" s="2"/>
      <c r="AD53" s="2"/>
    </row>
    <row r="54" spans="1:30" ht="15.75" customHeight="1" x14ac:dyDescent="0.2">
      <c r="A54" s="21"/>
      <c r="B54" s="22"/>
      <c r="C54" s="22"/>
      <c r="D54" s="22"/>
      <c r="E54" s="22"/>
      <c r="F54" s="22"/>
      <c r="G54" s="22"/>
      <c r="H54" s="26"/>
      <c r="I54" s="26"/>
      <c r="J54" s="26"/>
      <c r="K54" s="21"/>
      <c r="L54" s="25"/>
      <c r="M54" s="26"/>
      <c r="N54" s="26"/>
      <c r="O54" s="26"/>
      <c r="P54" s="26"/>
      <c r="Q54" s="26"/>
      <c r="R54" s="26"/>
      <c r="S54" s="26"/>
      <c r="T54" s="23"/>
      <c r="U54" s="8"/>
      <c r="V54" s="8"/>
      <c r="W54" s="2"/>
      <c r="X54" s="2"/>
      <c r="Y54" s="2"/>
      <c r="Z54" s="2"/>
      <c r="AA54" s="2"/>
      <c r="AB54" s="2"/>
      <c r="AC54" s="2"/>
      <c r="AD54" s="2"/>
    </row>
    <row r="55" spans="1:30" ht="15" customHeight="1" x14ac:dyDescent="0.2">
      <c r="A55" s="21"/>
      <c r="B55" s="22"/>
      <c r="C55" s="2"/>
      <c r="D55" s="2"/>
      <c r="E55" s="2"/>
      <c r="F55" s="2"/>
      <c r="G55" s="2"/>
      <c r="H55" s="23"/>
      <c r="I55" s="24"/>
      <c r="J55" s="24"/>
      <c r="K55" s="21"/>
      <c r="L55" s="24"/>
      <c r="M55" s="24"/>
      <c r="N55" s="24"/>
      <c r="O55" s="26"/>
      <c r="P55" s="26"/>
      <c r="Q55" s="26"/>
      <c r="R55" s="24"/>
      <c r="S55" s="24"/>
      <c r="T55" s="24"/>
      <c r="U55" s="8"/>
      <c r="V55" s="8"/>
      <c r="W55" s="2"/>
      <c r="X55" s="2"/>
      <c r="Y55" s="2"/>
      <c r="Z55" s="2"/>
      <c r="AA55" s="2"/>
      <c r="AB55" s="2"/>
      <c r="AC55" s="2"/>
      <c r="AD55" s="2"/>
    </row>
    <row r="56" spans="1:30" ht="15" customHeight="1" x14ac:dyDescent="0.2">
      <c r="A56" s="21"/>
      <c r="B56" s="22"/>
      <c r="C56" s="2"/>
      <c r="D56" s="2"/>
      <c r="E56" s="2"/>
      <c r="F56" s="2"/>
      <c r="G56" s="2"/>
      <c r="H56" s="23"/>
      <c r="I56" s="24"/>
      <c r="J56" s="24"/>
      <c r="K56" s="21"/>
      <c r="L56" s="35"/>
      <c r="M56" s="24"/>
      <c r="N56" s="24"/>
      <c r="O56" s="26"/>
      <c r="P56" s="26"/>
      <c r="Q56" s="26"/>
      <c r="R56" s="24"/>
      <c r="S56" s="24"/>
      <c r="T56" s="24"/>
      <c r="U56" s="8"/>
      <c r="V56" s="8"/>
      <c r="W56" s="2"/>
      <c r="X56" s="2"/>
      <c r="Y56" s="2"/>
      <c r="Z56" s="2"/>
      <c r="AA56" s="2"/>
      <c r="AB56" s="2"/>
      <c r="AC56" s="2"/>
      <c r="AD56" s="2"/>
    </row>
    <row r="57" spans="1:30" ht="15" customHeight="1" x14ac:dyDescent="0.2">
      <c r="A57" s="21"/>
      <c r="B57" s="22"/>
      <c r="C57" s="2"/>
      <c r="D57" s="2"/>
      <c r="E57" s="2"/>
      <c r="F57" s="2"/>
      <c r="G57" s="2"/>
      <c r="H57" s="23"/>
      <c r="I57" s="24"/>
      <c r="J57" s="24"/>
      <c r="K57" s="21"/>
      <c r="L57" s="25"/>
      <c r="M57" s="24"/>
      <c r="N57" s="24"/>
      <c r="O57" s="26"/>
      <c r="P57" s="26"/>
      <c r="Q57" s="26"/>
      <c r="R57" s="24"/>
      <c r="S57" s="24"/>
      <c r="T57" s="24"/>
      <c r="U57" s="8"/>
      <c r="V57" s="8"/>
      <c r="W57" s="2"/>
      <c r="X57" s="2"/>
      <c r="Y57" s="2"/>
      <c r="Z57" s="2"/>
      <c r="AA57" s="2"/>
      <c r="AB57" s="2"/>
      <c r="AC57" s="2"/>
      <c r="AD57" s="2"/>
    </row>
    <row r="58" spans="1:30" ht="15.75" customHeight="1" x14ac:dyDescent="0.2">
      <c r="A58" s="27"/>
      <c r="B58" s="2"/>
      <c r="C58" s="2"/>
      <c r="D58" s="2"/>
      <c r="E58" s="2"/>
      <c r="F58" s="2"/>
      <c r="G58" s="2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"/>
      <c r="X58" s="2"/>
      <c r="Y58" s="2"/>
      <c r="Z58" s="2"/>
      <c r="AA58" s="2"/>
      <c r="AB58" s="2"/>
      <c r="AC58" s="2"/>
      <c r="AD58" s="2"/>
    </row>
    <row r="59" spans="1:30" ht="15.75" customHeight="1" x14ac:dyDescent="0.2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2"/>
      <c r="M59" s="2"/>
      <c r="N59" s="2"/>
      <c r="O59" s="2"/>
      <c r="P59" s="2"/>
      <c r="Q59" s="2"/>
      <c r="R59" s="2"/>
      <c r="S59" s="8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 x14ac:dyDescent="0.2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2"/>
      <c r="M60" s="2"/>
      <c r="N60" s="2"/>
      <c r="O60" s="2"/>
      <c r="P60" s="2"/>
      <c r="Q60" s="2"/>
      <c r="R60" s="2"/>
      <c r="S60" s="29"/>
      <c r="T60" s="1"/>
      <c r="U60" s="8"/>
      <c r="V60" s="8"/>
      <c r="W60" s="2"/>
      <c r="X60" s="2"/>
      <c r="Y60" s="2"/>
      <c r="Z60" s="2"/>
      <c r="AA60" s="2"/>
      <c r="AB60" s="2"/>
      <c r="AC60" s="2"/>
      <c r="AD60" s="2"/>
    </row>
    <row r="61" spans="1:30" ht="15.75" customHeight="1" x14ac:dyDescent="0.2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2"/>
      <c r="M61" s="2"/>
      <c r="N61" s="2"/>
      <c r="O61" s="2"/>
      <c r="P61" s="2"/>
      <c r="Q61" s="2"/>
      <c r="R61" s="2"/>
      <c r="S61" s="29"/>
      <c r="T61" s="1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 x14ac:dyDescent="0.2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 x14ac:dyDescent="0.2">
      <c r="A63" s="30"/>
      <c r="B63" s="31"/>
      <c r="C63" s="31"/>
      <c r="D63" s="31"/>
      <c r="E63" s="31"/>
      <c r="F63" s="31"/>
      <c r="G63" s="31"/>
      <c r="H63" s="31"/>
      <c r="I63" s="32"/>
      <c r="J63" s="32"/>
      <c r="K63" s="32"/>
      <c r="L63" s="33"/>
      <c r="M63" s="31"/>
      <c r="N63" s="31"/>
      <c r="O63" s="32"/>
      <c r="P63" s="31"/>
      <c r="Q63" s="31"/>
      <c r="R63" s="31"/>
      <c r="S63" s="31"/>
      <c r="T63" s="31"/>
      <c r="U63" s="31"/>
      <c r="V63" s="31"/>
      <c r="W63" s="2"/>
      <c r="X63" s="2"/>
      <c r="Y63" s="2"/>
      <c r="Z63" s="2"/>
      <c r="AA63" s="2"/>
      <c r="AB63" s="2"/>
      <c r="AC63" s="2"/>
      <c r="AD63" s="2"/>
    </row>
    <row r="64" spans="1:30" ht="15.75" customHeight="1" x14ac:dyDescent="0.2">
      <c r="A64" s="21"/>
      <c r="B64" s="22"/>
      <c r="C64" s="22"/>
      <c r="D64" s="22"/>
      <c r="E64" s="22"/>
      <c r="F64" s="22"/>
      <c r="G64" s="22"/>
      <c r="H64" s="26"/>
      <c r="I64" s="26"/>
      <c r="J64" s="26"/>
      <c r="K64" s="21"/>
      <c r="L64" s="25"/>
      <c r="M64" s="26"/>
      <c r="N64" s="26"/>
      <c r="O64" s="26"/>
      <c r="P64" s="26"/>
      <c r="Q64" s="26"/>
      <c r="R64" s="26"/>
      <c r="S64" s="26"/>
      <c r="T64" s="23"/>
      <c r="U64" s="8"/>
      <c r="V64" s="8"/>
      <c r="W64" s="2"/>
      <c r="X64" s="2"/>
      <c r="Y64" s="2"/>
      <c r="Z64" s="2"/>
      <c r="AA64" s="2"/>
      <c r="AB64" s="2"/>
      <c r="AC64" s="2"/>
      <c r="AD64" s="2"/>
    </row>
    <row r="65" spans="1:30" ht="15.75" customHeight="1" x14ac:dyDescent="0.2">
      <c r="A65" s="21"/>
      <c r="B65" s="22"/>
      <c r="C65" s="22"/>
      <c r="D65" s="22"/>
      <c r="E65" s="22"/>
      <c r="F65" s="22"/>
      <c r="G65" s="22"/>
      <c r="H65" s="26"/>
      <c r="I65" s="26"/>
      <c r="J65" s="26"/>
      <c r="K65" s="21"/>
      <c r="L65" s="25"/>
      <c r="M65" s="26"/>
      <c r="N65" s="26"/>
      <c r="O65" s="26"/>
      <c r="P65" s="26"/>
      <c r="Q65" s="26"/>
      <c r="R65" s="26"/>
      <c r="S65" s="26"/>
      <c r="T65" s="23"/>
      <c r="U65" s="8"/>
      <c r="V65" s="8"/>
      <c r="W65" s="2"/>
      <c r="X65" s="2"/>
      <c r="Y65" s="2"/>
      <c r="Z65" s="2"/>
      <c r="AA65" s="2"/>
      <c r="AB65" s="2"/>
      <c r="AC65" s="2"/>
      <c r="AD65" s="2"/>
    </row>
    <row r="66" spans="1:30" ht="15.75" customHeight="1" x14ac:dyDescent="0.2">
      <c r="A66" s="21"/>
      <c r="B66" s="22"/>
      <c r="C66" s="22"/>
      <c r="D66" s="22"/>
      <c r="E66" s="22"/>
      <c r="F66" s="22"/>
      <c r="G66" s="22"/>
      <c r="H66" s="26"/>
      <c r="I66" s="26"/>
      <c r="J66" s="26"/>
      <c r="K66" s="21"/>
      <c r="L66" s="25"/>
      <c r="M66" s="26"/>
      <c r="N66" s="26"/>
      <c r="O66" s="26"/>
      <c r="P66" s="26"/>
      <c r="Q66" s="26"/>
      <c r="R66" s="26"/>
      <c r="S66" s="26"/>
      <c r="T66" s="23"/>
      <c r="U66" s="8"/>
      <c r="V66" s="8"/>
      <c r="W66" s="2"/>
      <c r="X66" s="34"/>
      <c r="Y66" s="2"/>
      <c r="Z66" s="2"/>
      <c r="AA66" s="2"/>
      <c r="AB66" s="2"/>
      <c r="AC66" s="2"/>
      <c r="AD66" s="2"/>
    </row>
    <row r="67" spans="1:30" ht="15.75" customHeight="1" x14ac:dyDescent="0.2">
      <c r="A67" s="21"/>
      <c r="B67" s="22"/>
      <c r="C67" s="22"/>
      <c r="D67" s="22"/>
      <c r="E67" s="22"/>
      <c r="F67" s="22"/>
      <c r="G67" s="22"/>
      <c r="H67" s="26"/>
      <c r="I67" s="26"/>
      <c r="J67" s="26"/>
      <c r="K67" s="21"/>
      <c r="L67" s="25"/>
      <c r="M67" s="26"/>
      <c r="N67" s="26"/>
      <c r="O67" s="26"/>
      <c r="P67" s="26"/>
      <c r="Q67" s="26"/>
      <c r="R67" s="26"/>
      <c r="S67" s="26"/>
      <c r="T67" s="23"/>
      <c r="U67" s="8"/>
      <c r="V67" s="8"/>
      <c r="W67" s="2"/>
      <c r="X67" s="2"/>
      <c r="Y67" s="2"/>
      <c r="Z67" s="2"/>
      <c r="AA67" s="2"/>
      <c r="AB67" s="2"/>
      <c r="AC67" s="2"/>
      <c r="AD67" s="2"/>
    </row>
    <row r="68" spans="1:30" ht="15.75" customHeight="1" x14ac:dyDescent="0.2">
      <c r="A68" s="21"/>
      <c r="B68" s="22"/>
      <c r="C68" s="22"/>
      <c r="D68" s="22"/>
      <c r="E68" s="22"/>
      <c r="F68" s="22"/>
      <c r="G68" s="22"/>
      <c r="H68" s="26"/>
      <c r="I68" s="26"/>
      <c r="J68" s="26"/>
      <c r="K68" s="21"/>
      <c r="L68" s="25"/>
      <c r="M68" s="26"/>
      <c r="N68" s="26"/>
      <c r="O68" s="26"/>
      <c r="P68" s="26"/>
      <c r="Q68" s="26"/>
      <c r="R68" s="26"/>
      <c r="S68" s="26"/>
      <c r="T68" s="23"/>
      <c r="U68" s="8"/>
      <c r="V68" s="8"/>
      <c r="W68" s="2"/>
      <c r="X68" s="2"/>
      <c r="Y68" s="2"/>
      <c r="Z68" s="2"/>
      <c r="AA68" s="2"/>
      <c r="AB68" s="2"/>
      <c r="AC68" s="2"/>
      <c r="AD68" s="2"/>
    </row>
    <row r="69" spans="1:30" ht="15.75" customHeight="1" x14ac:dyDescent="0.2">
      <c r="A69" s="21"/>
      <c r="B69" s="22"/>
      <c r="C69" s="22"/>
      <c r="D69" s="22"/>
      <c r="E69" s="22"/>
      <c r="F69" s="22"/>
      <c r="G69" s="22"/>
      <c r="H69" s="26"/>
      <c r="I69" s="26"/>
      <c r="J69" s="26"/>
      <c r="K69" s="21"/>
      <c r="L69" s="25"/>
      <c r="M69" s="26"/>
      <c r="N69" s="26"/>
      <c r="O69" s="26"/>
      <c r="P69" s="26"/>
      <c r="Q69" s="26"/>
      <c r="R69" s="26"/>
      <c r="S69" s="26"/>
      <c r="T69" s="23"/>
      <c r="U69" s="8"/>
      <c r="V69" s="8"/>
      <c r="W69" s="8"/>
      <c r="X69" s="2"/>
      <c r="Y69" s="2"/>
      <c r="Z69" s="2"/>
      <c r="AA69" s="2"/>
      <c r="AB69" s="2"/>
      <c r="AC69" s="2"/>
      <c r="AD69" s="2"/>
    </row>
    <row r="70" spans="1:30" ht="15.75" customHeight="1" x14ac:dyDescent="0.2">
      <c r="A70" s="21"/>
      <c r="B70" s="22"/>
      <c r="C70" s="22"/>
      <c r="D70" s="22"/>
      <c r="E70" s="22"/>
      <c r="F70" s="22"/>
      <c r="G70" s="22"/>
      <c r="H70" s="26"/>
      <c r="I70" s="26"/>
      <c r="J70" s="26"/>
      <c r="K70" s="21"/>
      <c r="L70" s="25"/>
      <c r="M70" s="26"/>
      <c r="N70" s="26"/>
      <c r="O70" s="26"/>
      <c r="P70" s="26"/>
      <c r="Q70" s="26"/>
      <c r="R70" s="26"/>
      <c r="S70" s="26"/>
      <c r="T70" s="23"/>
      <c r="U70" s="8"/>
      <c r="V70" s="8"/>
      <c r="W70" s="2"/>
      <c r="X70" s="2"/>
      <c r="Y70" s="2"/>
      <c r="Z70" s="2"/>
      <c r="AA70" s="2"/>
      <c r="AB70" s="2"/>
      <c r="AC70" s="2"/>
      <c r="AD70" s="2"/>
    </row>
    <row r="71" spans="1:30" ht="15.75" customHeight="1" x14ac:dyDescent="0.2">
      <c r="A71" s="21"/>
      <c r="B71" s="22"/>
      <c r="C71" s="22"/>
      <c r="D71" s="22"/>
      <c r="E71" s="22"/>
      <c r="F71" s="22"/>
      <c r="G71" s="22"/>
      <c r="H71" s="26"/>
      <c r="I71" s="26"/>
      <c r="J71" s="26"/>
      <c r="K71" s="21"/>
      <c r="L71" s="25"/>
      <c r="M71" s="26"/>
      <c r="N71" s="26"/>
      <c r="O71" s="26"/>
      <c r="P71" s="26"/>
      <c r="Q71" s="26"/>
      <c r="R71" s="26"/>
      <c r="S71" s="26"/>
      <c r="T71" s="23"/>
      <c r="U71" s="8"/>
      <c r="V71" s="8"/>
      <c r="W71" s="8"/>
      <c r="X71" s="2"/>
      <c r="Y71" s="2"/>
      <c r="Z71" s="2"/>
      <c r="AA71" s="2"/>
      <c r="AB71" s="2"/>
      <c r="AC71" s="2"/>
      <c r="AD71" s="2"/>
    </row>
    <row r="72" spans="1:30" ht="15.75" customHeight="1" x14ac:dyDescent="0.2">
      <c r="A72" s="21"/>
      <c r="B72" s="22"/>
      <c r="C72" s="22"/>
      <c r="D72" s="22"/>
      <c r="E72" s="22"/>
      <c r="F72" s="22"/>
      <c r="G72" s="22"/>
      <c r="H72" s="26"/>
      <c r="I72" s="26"/>
      <c r="J72" s="26"/>
      <c r="K72" s="21"/>
      <c r="L72" s="25"/>
      <c r="M72" s="26"/>
      <c r="N72" s="26"/>
      <c r="O72" s="26"/>
      <c r="P72" s="26"/>
      <c r="Q72" s="26"/>
      <c r="R72" s="26"/>
      <c r="S72" s="26"/>
      <c r="T72" s="23"/>
      <c r="U72" s="8"/>
      <c r="V72" s="8"/>
      <c r="W72" s="2"/>
      <c r="X72" s="2"/>
      <c r="Y72" s="2"/>
      <c r="Z72" s="2"/>
      <c r="AA72" s="2"/>
      <c r="AB72" s="2"/>
      <c r="AC72" s="2"/>
      <c r="AD72" s="2"/>
    </row>
    <row r="73" spans="1:30" ht="15.75" customHeight="1" x14ac:dyDescent="0.2">
      <c r="A73" s="21"/>
      <c r="B73" s="22"/>
      <c r="C73" s="22"/>
      <c r="D73" s="22"/>
      <c r="E73" s="22"/>
      <c r="F73" s="22"/>
      <c r="G73" s="22"/>
      <c r="H73" s="26"/>
      <c r="I73" s="26"/>
      <c r="J73" s="26"/>
      <c r="K73" s="21"/>
      <c r="L73" s="25"/>
      <c r="M73" s="26"/>
      <c r="N73" s="26"/>
      <c r="O73" s="26"/>
      <c r="P73" s="26"/>
      <c r="Q73" s="26"/>
      <c r="R73" s="26"/>
      <c r="S73" s="26"/>
      <c r="T73" s="23"/>
      <c r="U73" s="8"/>
      <c r="V73" s="8"/>
      <c r="W73" s="2"/>
      <c r="X73" s="2"/>
      <c r="Y73" s="2"/>
      <c r="Z73" s="2"/>
      <c r="AA73" s="2"/>
      <c r="AB73" s="2"/>
      <c r="AC73" s="2"/>
      <c r="AD73" s="2"/>
    </row>
    <row r="74" spans="1:30" ht="15.75" customHeight="1" x14ac:dyDescent="0.2">
      <c r="A74" s="21"/>
      <c r="B74" s="22"/>
      <c r="C74" s="22"/>
      <c r="D74" s="22"/>
      <c r="E74" s="22"/>
      <c r="F74" s="22"/>
      <c r="G74" s="22"/>
      <c r="H74" s="26"/>
      <c r="I74" s="26"/>
      <c r="J74" s="26"/>
      <c r="K74" s="21"/>
      <c r="L74" s="25"/>
      <c r="M74" s="26"/>
      <c r="N74" s="26"/>
      <c r="O74" s="26"/>
      <c r="P74" s="26"/>
      <c r="Q74" s="26"/>
      <c r="R74" s="26"/>
      <c r="S74" s="26"/>
      <c r="T74" s="23"/>
      <c r="U74" s="8"/>
      <c r="V74" s="8"/>
      <c r="W74" s="2"/>
      <c r="X74" s="2"/>
      <c r="Y74" s="2"/>
      <c r="Z74" s="2"/>
      <c r="AA74" s="2"/>
      <c r="AB74" s="2"/>
      <c r="AC74" s="2"/>
      <c r="AD74" s="2"/>
    </row>
    <row r="75" spans="1:30" ht="15.75" customHeight="1" x14ac:dyDescent="0.2">
      <c r="A75" s="21"/>
      <c r="B75" s="22"/>
      <c r="C75" s="22"/>
      <c r="D75" s="22"/>
      <c r="E75" s="22"/>
      <c r="F75" s="22"/>
      <c r="G75" s="22"/>
      <c r="H75" s="26"/>
      <c r="I75" s="26"/>
      <c r="J75" s="26"/>
      <c r="K75" s="21"/>
      <c r="L75" s="25"/>
      <c r="M75" s="26"/>
      <c r="N75" s="26"/>
      <c r="O75" s="26"/>
      <c r="P75" s="26"/>
      <c r="Q75" s="26"/>
      <c r="R75" s="26"/>
      <c r="S75" s="26"/>
      <c r="T75" s="23"/>
      <c r="U75" s="8"/>
      <c r="V75" s="8"/>
      <c r="W75" s="2"/>
      <c r="X75" s="2"/>
      <c r="Y75" s="2"/>
      <c r="Z75" s="2"/>
      <c r="AA75" s="2"/>
      <c r="AB75" s="2"/>
      <c r="AC75" s="2"/>
      <c r="AD75" s="2"/>
    </row>
    <row r="76" spans="1:30" ht="15" customHeight="1" x14ac:dyDescent="0.2">
      <c r="A76" s="21"/>
      <c r="B76" s="22"/>
      <c r="C76" s="2"/>
      <c r="D76" s="2"/>
      <c r="E76" s="2"/>
      <c r="F76" s="2"/>
      <c r="G76" s="2"/>
      <c r="H76" s="23"/>
      <c r="I76" s="24"/>
      <c r="J76" s="24"/>
      <c r="K76" s="21"/>
      <c r="L76" s="24"/>
      <c r="M76" s="24"/>
      <c r="N76" s="24"/>
      <c r="O76" s="26"/>
      <c r="P76" s="26"/>
      <c r="Q76" s="26"/>
      <c r="R76" s="24"/>
      <c r="S76" s="24"/>
      <c r="T76" s="24"/>
      <c r="U76" s="8"/>
      <c r="V76" s="8"/>
      <c r="W76" s="2"/>
      <c r="X76" s="2"/>
      <c r="Y76" s="2"/>
      <c r="Z76" s="2"/>
      <c r="AA76" s="2"/>
      <c r="AB76" s="2"/>
      <c r="AC76" s="2"/>
      <c r="AD76" s="2"/>
    </row>
    <row r="77" spans="1:30" ht="15" customHeight="1" x14ac:dyDescent="0.2">
      <c r="A77" s="21"/>
      <c r="B77" s="22"/>
      <c r="C77" s="2"/>
      <c r="D77" s="2"/>
      <c r="E77" s="2"/>
      <c r="F77" s="2"/>
      <c r="G77" s="2"/>
      <c r="H77" s="23"/>
      <c r="I77" s="24"/>
      <c r="J77" s="24"/>
      <c r="K77" s="21"/>
      <c r="L77" s="24"/>
      <c r="M77" s="24"/>
      <c r="N77" s="24"/>
      <c r="O77" s="26"/>
      <c r="P77" s="26"/>
      <c r="Q77" s="26"/>
      <c r="R77" s="24"/>
      <c r="S77" s="24"/>
      <c r="T77" s="24"/>
      <c r="U77" s="8"/>
      <c r="V77" s="8"/>
      <c r="W77" s="2"/>
      <c r="X77" s="2"/>
      <c r="Y77" s="2"/>
      <c r="Z77" s="2"/>
      <c r="AA77" s="2"/>
      <c r="AB77" s="2"/>
      <c r="AC77" s="2"/>
      <c r="AD77" s="2"/>
    </row>
    <row r="78" spans="1:30" ht="15" customHeight="1" x14ac:dyDescent="0.2">
      <c r="A78" s="21"/>
      <c r="B78" s="22"/>
      <c r="C78" s="2"/>
      <c r="D78" s="2"/>
      <c r="E78" s="2"/>
      <c r="F78" s="2"/>
      <c r="G78" s="2"/>
      <c r="H78" s="23"/>
      <c r="I78" s="24"/>
      <c r="J78" s="24"/>
      <c r="K78" s="21"/>
      <c r="L78" s="24"/>
      <c r="M78" s="24"/>
      <c r="N78" s="24"/>
      <c r="O78" s="26"/>
      <c r="P78" s="26"/>
      <c r="Q78" s="26"/>
      <c r="R78" s="24"/>
      <c r="S78" s="24"/>
      <c r="T78" s="24"/>
      <c r="U78" s="8"/>
      <c r="V78" s="8"/>
      <c r="W78" s="2"/>
      <c r="X78" s="2"/>
      <c r="Y78" s="2"/>
      <c r="Z78" s="2"/>
      <c r="AA78" s="2"/>
      <c r="AB78" s="2"/>
      <c r="AC78" s="2"/>
      <c r="AD78" s="2"/>
    </row>
    <row r="79" spans="1:30" ht="15.75" customHeight="1" x14ac:dyDescent="0.2">
      <c r="A79" s="27"/>
      <c r="B79" s="2"/>
      <c r="C79" s="2"/>
      <c r="D79" s="2"/>
      <c r="E79" s="2"/>
      <c r="F79" s="2"/>
      <c r="G79" s="2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"/>
      <c r="X79" s="2"/>
      <c r="Y79" s="2"/>
      <c r="Z79" s="2"/>
      <c r="AA79" s="2"/>
      <c r="AB79" s="2"/>
      <c r="AC79" s="2"/>
      <c r="AD79" s="2"/>
    </row>
    <row r="80" spans="1:30" ht="15.75" customHeight="1" x14ac:dyDescent="0.2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2"/>
      <c r="M80" s="2"/>
      <c r="N80" s="2"/>
      <c r="O80" s="2"/>
      <c r="P80" s="2"/>
      <c r="Q80" s="2"/>
      <c r="R80" s="2"/>
      <c r="S80" s="8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 x14ac:dyDescent="0.2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2"/>
      <c r="M81" s="2"/>
      <c r="N81" s="2"/>
      <c r="O81" s="2"/>
      <c r="P81" s="2"/>
      <c r="Q81" s="2"/>
      <c r="R81" s="2"/>
      <c r="S81" s="29"/>
      <c r="T81" s="1"/>
      <c r="U81" s="8"/>
      <c r="V81" s="8"/>
      <c r="W81" s="2"/>
      <c r="X81" s="2"/>
      <c r="Y81" s="2"/>
      <c r="Z81" s="2"/>
      <c r="AA81" s="2"/>
      <c r="AB81" s="2"/>
      <c r="AC81" s="2"/>
      <c r="AD81" s="2"/>
    </row>
    <row r="82" spans="1:30" ht="15.75" customHeight="1" x14ac:dyDescent="0.2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2"/>
      <c r="M82" s="2"/>
      <c r="N82" s="2"/>
      <c r="O82" s="2"/>
      <c r="P82" s="2"/>
      <c r="Q82" s="2"/>
      <c r="R82" s="2"/>
      <c r="S82" s="29"/>
      <c r="T82" s="1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 x14ac:dyDescent="0.2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6.25" customHeight="1" x14ac:dyDescent="0.2">
      <c r="A84" s="30"/>
      <c r="B84" s="31"/>
      <c r="C84" s="31"/>
      <c r="D84" s="31"/>
      <c r="E84" s="31"/>
      <c r="F84" s="31"/>
      <c r="G84" s="31"/>
      <c r="H84" s="31"/>
      <c r="I84" s="32"/>
      <c r="J84" s="32"/>
      <c r="K84" s="32"/>
      <c r="L84" s="33"/>
      <c r="M84" s="31"/>
      <c r="N84" s="31"/>
      <c r="O84" s="32"/>
      <c r="P84" s="31"/>
      <c r="Q84" s="31"/>
      <c r="R84" s="31"/>
      <c r="S84" s="31"/>
      <c r="T84" s="31"/>
      <c r="U84" s="31"/>
      <c r="V84" s="31"/>
      <c r="W84" s="2"/>
      <c r="X84" s="2"/>
      <c r="Y84" s="2"/>
      <c r="Z84" s="2"/>
      <c r="AA84" s="2"/>
      <c r="AB84" s="2"/>
      <c r="AC84" s="2"/>
      <c r="AD84" s="2"/>
    </row>
    <row r="85" spans="1:30" ht="15.75" customHeight="1" x14ac:dyDescent="0.2">
      <c r="A85" s="21"/>
      <c r="B85" s="22"/>
      <c r="C85" s="22"/>
      <c r="D85" s="22"/>
      <c r="E85" s="22"/>
      <c r="F85" s="22"/>
      <c r="G85" s="22"/>
      <c r="H85" s="26"/>
      <c r="I85" s="26"/>
      <c r="J85" s="26"/>
      <c r="K85" s="21"/>
      <c r="L85" s="25"/>
      <c r="M85" s="26"/>
      <c r="N85" s="26"/>
      <c r="O85" s="26"/>
      <c r="P85" s="26"/>
      <c r="Q85" s="26"/>
      <c r="R85" s="26"/>
      <c r="S85" s="26"/>
      <c r="T85" s="23"/>
      <c r="U85" s="8"/>
      <c r="V85" s="8"/>
      <c r="W85" s="2"/>
      <c r="X85" s="2"/>
      <c r="Y85" s="2"/>
      <c r="Z85" s="2"/>
      <c r="AA85" s="2"/>
      <c r="AB85" s="2"/>
      <c r="AC85" s="2"/>
      <c r="AD85" s="2"/>
    </row>
    <row r="86" spans="1:30" ht="15.75" customHeight="1" x14ac:dyDescent="0.2">
      <c r="A86" s="21"/>
      <c r="B86" s="22"/>
      <c r="C86" s="22"/>
      <c r="D86" s="22"/>
      <c r="E86" s="22"/>
      <c r="F86" s="22"/>
      <c r="G86" s="22"/>
      <c r="H86" s="26"/>
      <c r="I86" s="26"/>
      <c r="J86" s="26"/>
      <c r="K86" s="21"/>
      <c r="L86" s="25"/>
      <c r="M86" s="26"/>
      <c r="N86" s="26"/>
      <c r="O86" s="26"/>
      <c r="P86" s="26"/>
      <c r="Q86" s="26"/>
      <c r="R86" s="26"/>
      <c r="S86" s="26"/>
      <c r="T86" s="23"/>
      <c r="U86" s="8"/>
      <c r="V86" s="8"/>
      <c r="W86" s="2"/>
      <c r="X86" s="2"/>
      <c r="Y86" s="2"/>
      <c r="Z86" s="2"/>
      <c r="AA86" s="2"/>
      <c r="AB86" s="2"/>
      <c r="AC86" s="2"/>
      <c r="AD86" s="2"/>
    </row>
    <row r="87" spans="1:30" ht="15.75" customHeight="1" x14ac:dyDescent="0.2">
      <c r="A87" s="21"/>
      <c r="B87" s="22"/>
      <c r="C87" s="22"/>
      <c r="D87" s="22"/>
      <c r="E87" s="22"/>
      <c r="F87" s="22"/>
      <c r="G87" s="22"/>
      <c r="H87" s="26"/>
      <c r="I87" s="26"/>
      <c r="J87" s="26"/>
      <c r="K87" s="21"/>
      <c r="L87" s="25"/>
      <c r="M87" s="26"/>
      <c r="N87" s="26"/>
      <c r="O87" s="26"/>
      <c r="P87" s="26"/>
      <c r="Q87" s="26"/>
      <c r="R87" s="26"/>
      <c r="S87" s="26"/>
      <c r="T87" s="23"/>
      <c r="U87" s="8"/>
      <c r="V87" s="8"/>
      <c r="W87" s="2"/>
      <c r="X87" s="34"/>
      <c r="Y87" s="2"/>
      <c r="Z87" s="2"/>
      <c r="AA87" s="2"/>
      <c r="AB87" s="2"/>
      <c r="AC87" s="2"/>
      <c r="AD87" s="2"/>
    </row>
    <row r="88" spans="1:30" ht="15.75" customHeight="1" x14ac:dyDescent="0.2">
      <c r="A88" s="21"/>
      <c r="B88" s="22"/>
      <c r="C88" s="22"/>
      <c r="D88" s="22"/>
      <c r="E88" s="22"/>
      <c r="F88" s="22"/>
      <c r="G88" s="22"/>
      <c r="H88" s="26"/>
      <c r="I88" s="26"/>
      <c r="J88" s="26"/>
      <c r="K88" s="21"/>
      <c r="L88" s="25"/>
      <c r="M88" s="26"/>
      <c r="N88" s="26"/>
      <c r="O88" s="26"/>
      <c r="P88" s="26"/>
      <c r="Q88" s="26"/>
      <c r="R88" s="26"/>
      <c r="S88" s="26"/>
      <c r="T88" s="23"/>
      <c r="U88" s="8"/>
      <c r="V88" s="8"/>
      <c r="W88" s="2"/>
      <c r="X88" s="2"/>
      <c r="Y88" s="2"/>
      <c r="Z88" s="2"/>
      <c r="AA88" s="2"/>
      <c r="AB88" s="2"/>
      <c r="AC88" s="2"/>
      <c r="AD88" s="2"/>
    </row>
    <row r="89" spans="1:30" ht="15.75" customHeight="1" x14ac:dyDescent="0.2">
      <c r="A89" s="21"/>
      <c r="B89" s="22"/>
      <c r="C89" s="22"/>
      <c r="D89" s="22"/>
      <c r="E89" s="22"/>
      <c r="F89" s="22"/>
      <c r="G89" s="22"/>
      <c r="H89" s="26"/>
      <c r="I89" s="26"/>
      <c r="J89" s="26"/>
      <c r="K89" s="21"/>
      <c r="L89" s="25"/>
      <c r="M89" s="26"/>
      <c r="N89" s="26"/>
      <c r="O89" s="26"/>
      <c r="P89" s="26"/>
      <c r="Q89" s="26"/>
      <c r="R89" s="26"/>
      <c r="S89" s="26"/>
      <c r="T89" s="23"/>
      <c r="U89" s="8"/>
      <c r="V89" s="8"/>
      <c r="W89" s="2"/>
      <c r="X89" s="2"/>
      <c r="Y89" s="2"/>
      <c r="Z89" s="2"/>
      <c r="AA89" s="2"/>
      <c r="AB89" s="2"/>
      <c r="AC89" s="2"/>
      <c r="AD89" s="2"/>
    </row>
    <row r="90" spans="1:30" ht="15.75" customHeight="1" x14ac:dyDescent="0.2">
      <c r="A90" s="21"/>
      <c r="B90" s="22"/>
      <c r="C90" s="22"/>
      <c r="D90" s="22"/>
      <c r="E90" s="22"/>
      <c r="F90" s="22"/>
      <c r="G90" s="22"/>
      <c r="H90" s="26"/>
      <c r="I90" s="26"/>
      <c r="J90" s="26"/>
      <c r="K90" s="21"/>
      <c r="L90" s="25"/>
      <c r="M90" s="26"/>
      <c r="N90" s="26"/>
      <c r="O90" s="26"/>
      <c r="P90" s="26"/>
      <c r="Q90" s="26"/>
      <c r="R90" s="26"/>
      <c r="S90" s="26"/>
      <c r="T90" s="23"/>
      <c r="U90" s="8"/>
      <c r="V90" s="8"/>
      <c r="W90" s="8"/>
      <c r="X90" s="2"/>
      <c r="Y90" s="2"/>
      <c r="Z90" s="2"/>
      <c r="AA90" s="2"/>
      <c r="AB90" s="2"/>
      <c r="AC90" s="2"/>
      <c r="AD90" s="2"/>
    </row>
    <row r="91" spans="1:30" ht="15.75" customHeight="1" x14ac:dyDescent="0.2">
      <c r="A91" s="21"/>
      <c r="B91" s="22"/>
      <c r="C91" s="22"/>
      <c r="D91" s="22"/>
      <c r="E91" s="22"/>
      <c r="F91" s="22"/>
      <c r="G91" s="22"/>
      <c r="H91" s="26"/>
      <c r="I91" s="26"/>
      <c r="J91" s="26"/>
      <c r="K91" s="21"/>
      <c r="L91" s="25"/>
      <c r="M91" s="26"/>
      <c r="N91" s="26"/>
      <c r="O91" s="26"/>
      <c r="P91" s="26"/>
      <c r="Q91" s="26"/>
      <c r="R91" s="26"/>
      <c r="S91" s="26"/>
      <c r="T91" s="23"/>
      <c r="U91" s="8"/>
      <c r="V91" s="8"/>
      <c r="W91" s="2"/>
      <c r="X91" s="2"/>
      <c r="Y91" s="2"/>
      <c r="Z91" s="2"/>
      <c r="AA91" s="2"/>
      <c r="AB91" s="2"/>
      <c r="AC91" s="2"/>
      <c r="AD91" s="2"/>
    </row>
    <row r="92" spans="1:30" ht="15.75" customHeight="1" x14ac:dyDescent="0.2">
      <c r="A92" s="21"/>
      <c r="B92" s="22"/>
      <c r="C92" s="22"/>
      <c r="D92" s="22"/>
      <c r="E92" s="22"/>
      <c r="F92" s="22"/>
      <c r="G92" s="22"/>
      <c r="H92" s="26"/>
      <c r="I92" s="26"/>
      <c r="J92" s="26"/>
      <c r="K92" s="21"/>
      <c r="L92" s="25"/>
      <c r="M92" s="26"/>
      <c r="N92" s="26"/>
      <c r="O92" s="26"/>
      <c r="P92" s="26"/>
      <c r="Q92" s="26"/>
      <c r="R92" s="26"/>
      <c r="S92" s="26"/>
      <c r="T92" s="23"/>
      <c r="U92" s="8"/>
      <c r="V92" s="8"/>
      <c r="W92" s="2"/>
      <c r="X92" s="2"/>
      <c r="Y92" s="2"/>
      <c r="Z92" s="2"/>
      <c r="AA92" s="2"/>
      <c r="AB92" s="2"/>
      <c r="AC92" s="2"/>
      <c r="AD92" s="2"/>
    </row>
    <row r="93" spans="1:30" ht="15.75" customHeight="1" x14ac:dyDescent="0.2">
      <c r="A93" s="21"/>
      <c r="B93" s="22"/>
      <c r="C93" s="22"/>
      <c r="D93" s="22"/>
      <c r="E93" s="22"/>
      <c r="F93" s="22"/>
      <c r="G93" s="22"/>
      <c r="H93" s="26"/>
      <c r="I93" s="26"/>
      <c r="J93" s="26"/>
      <c r="K93" s="21"/>
      <c r="L93" s="25"/>
      <c r="M93" s="26"/>
      <c r="N93" s="26"/>
      <c r="O93" s="26"/>
      <c r="P93" s="26"/>
      <c r="Q93" s="26"/>
      <c r="R93" s="26"/>
      <c r="S93" s="26"/>
      <c r="T93" s="23"/>
      <c r="U93" s="8"/>
      <c r="V93" s="8"/>
      <c r="W93" s="2"/>
      <c r="X93" s="2"/>
      <c r="Y93" s="2"/>
      <c r="Z93" s="2"/>
      <c r="AA93" s="2"/>
      <c r="AB93" s="2"/>
      <c r="AC93" s="2"/>
      <c r="AD93" s="2"/>
    </row>
    <row r="94" spans="1:30" ht="15.75" customHeight="1" x14ac:dyDescent="0.2">
      <c r="A94" s="21"/>
      <c r="B94" s="22"/>
      <c r="C94" s="22"/>
      <c r="D94" s="22"/>
      <c r="E94" s="22"/>
      <c r="F94" s="22"/>
      <c r="G94" s="22"/>
      <c r="H94" s="26"/>
      <c r="I94" s="26"/>
      <c r="J94" s="26"/>
      <c r="K94" s="21"/>
      <c r="L94" s="25"/>
      <c r="M94" s="26"/>
      <c r="N94" s="26"/>
      <c r="O94" s="26"/>
      <c r="P94" s="26"/>
      <c r="Q94" s="26"/>
      <c r="R94" s="26"/>
      <c r="S94" s="26"/>
      <c r="T94" s="23"/>
      <c r="U94" s="8"/>
      <c r="V94" s="8"/>
      <c r="W94" s="2"/>
      <c r="X94" s="2"/>
      <c r="Y94" s="2"/>
      <c r="Z94" s="2"/>
      <c r="AA94" s="2"/>
      <c r="AB94" s="2"/>
      <c r="AC94" s="2"/>
      <c r="AD94" s="2"/>
    </row>
    <row r="95" spans="1:30" ht="15.75" customHeight="1" x14ac:dyDescent="0.2">
      <c r="A95" s="21"/>
      <c r="B95" s="22"/>
      <c r="C95" s="22"/>
      <c r="D95" s="22"/>
      <c r="E95" s="22"/>
      <c r="F95" s="22"/>
      <c r="G95" s="22"/>
      <c r="H95" s="26"/>
      <c r="I95" s="26"/>
      <c r="J95" s="26"/>
      <c r="K95" s="21"/>
      <c r="L95" s="25"/>
      <c r="M95" s="26"/>
      <c r="N95" s="26"/>
      <c r="O95" s="26"/>
      <c r="P95" s="26"/>
      <c r="Q95" s="26"/>
      <c r="R95" s="26"/>
      <c r="S95" s="26"/>
      <c r="T95" s="23"/>
      <c r="U95" s="8"/>
      <c r="V95" s="8"/>
      <c r="W95" s="2"/>
      <c r="X95" s="2"/>
      <c r="Y95" s="2"/>
      <c r="Z95" s="2"/>
      <c r="AA95" s="2"/>
      <c r="AB95" s="2"/>
      <c r="AC95" s="2"/>
      <c r="AD95" s="2"/>
    </row>
    <row r="96" spans="1:30" ht="15.75" customHeight="1" x14ac:dyDescent="0.2">
      <c r="A96" s="21"/>
      <c r="B96" s="22"/>
      <c r="C96" s="22"/>
      <c r="D96" s="22"/>
      <c r="E96" s="22"/>
      <c r="F96" s="22"/>
      <c r="G96" s="22"/>
      <c r="H96" s="26"/>
      <c r="I96" s="26"/>
      <c r="J96" s="26"/>
      <c r="K96" s="21"/>
      <c r="L96" s="25"/>
      <c r="M96" s="26"/>
      <c r="N96" s="26"/>
      <c r="O96" s="26"/>
      <c r="P96" s="26"/>
      <c r="Q96" s="26"/>
      <c r="R96" s="26"/>
      <c r="S96" s="26"/>
      <c r="T96" s="23"/>
      <c r="U96" s="8"/>
      <c r="V96" s="8"/>
      <c r="W96" s="2"/>
      <c r="X96" s="2"/>
      <c r="Y96" s="2"/>
      <c r="Z96" s="2"/>
      <c r="AA96" s="2"/>
      <c r="AB96" s="2"/>
      <c r="AC96" s="2"/>
      <c r="AD96" s="2"/>
    </row>
    <row r="97" spans="1:30" ht="15" customHeight="1" x14ac:dyDescent="0.2">
      <c r="A97" s="21"/>
      <c r="B97" s="22"/>
      <c r="C97" s="2"/>
      <c r="D97" s="2"/>
      <c r="E97" s="2"/>
      <c r="F97" s="2"/>
      <c r="G97" s="2"/>
      <c r="H97" s="23"/>
      <c r="I97" s="24"/>
      <c r="J97" s="24"/>
      <c r="K97" s="21"/>
      <c r="L97" s="24"/>
      <c r="M97" s="24"/>
      <c r="N97" s="24"/>
      <c r="O97" s="26"/>
      <c r="P97" s="26"/>
      <c r="Q97" s="26"/>
      <c r="R97" s="24"/>
      <c r="S97" s="24"/>
      <c r="T97" s="24"/>
      <c r="U97" s="8"/>
      <c r="V97" s="8"/>
      <c r="W97" s="2"/>
      <c r="X97" s="2"/>
      <c r="Y97" s="2"/>
      <c r="Z97" s="2"/>
      <c r="AA97" s="2"/>
      <c r="AB97" s="2"/>
      <c r="AC97" s="2"/>
      <c r="AD97" s="2"/>
    </row>
    <row r="98" spans="1:30" ht="15.75" customHeight="1" x14ac:dyDescent="0.2">
      <c r="A98" s="27"/>
      <c r="B98" s="2"/>
      <c r="C98" s="2"/>
      <c r="D98" s="2"/>
      <c r="E98" s="2"/>
      <c r="F98" s="2"/>
      <c r="G98" s="2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"/>
      <c r="X98" s="2"/>
      <c r="Y98" s="2"/>
      <c r="Z98" s="2"/>
      <c r="AA98" s="2"/>
      <c r="AB98" s="2"/>
      <c r="AC98" s="2"/>
      <c r="AD98" s="2"/>
    </row>
    <row r="99" spans="1:30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8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9"/>
      <c r="T100" s="1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 x14ac:dyDescent="0.2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32.25" customHeight="1" x14ac:dyDescent="0.2">
      <c r="A102" s="30"/>
      <c r="B102" s="31"/>
      <c r="C102" s="31"/>
      <c r="D102" s="31"/>
      <c r="E102" s="31"/>
      <c r="F102" s="31"/>
      <c r="G102" s="31"/>
      <c r="H102" s="31"/>
      <c r="I102" s="32"/>
      <c r="J102" s="32"/>
      <c r="K102" s="32"/>
      <c r="L102" s="33"/>
      <c r="M102" s="31"/>
      <c r="N102" s="31"/>
      <c r="O102" s="32"/>
      <c r="P102" s="31"/>
      <c r="Q102" s="31"/>
      <c r="R102" s="31"/>
      <c r="S102" s="31"/>
      <c r="T102" s="31"/>
      <c r="U102" s="31"/>
      <c r="V102" s="31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 x14ac:dyDescent="0.2">
      <c r="A103" s="21"/>
      <c r="B103" s="22"/>
      <c r="C103" s="22"/>
      <c r="D103" s="22"/>
      <c r="E103" s="22"/>
      <c r="F103" s="22"/>
      <c r="G103" s="22"/>
      <c r="H103" s="26"/>
      <c r="I103" s="26"/>
      <c r="J103" s="26"/>
      <c r="K103" s="21"/>
      <c r="L103" s="25"/>
      <c r="M103" s="26"/>
      <c r="N103" s="26"/>
      <c r="O103" s="26"/>
      <c r="P103" s="26"/>
      <c r="Q103" s="26"/>
      <c r="R103" s="26"/>
      <c r="S103" s="26"/>
      <c r="T103" s="23"/>
      <c r="U103" s="8"/>
      <c r="V103" s="8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 x14ac:dyDescent="0.2">
      <c r="A104" s="21"/>
      <c r="B104" s="22"/>
      <c r="C104" s="22"/>
      <c r="D104" s="22"/>
      <c r="E104" s="22"/>
      <c r="F104" s="22"/>
      <c r="G104" s="22"/>
      <c r="H104" s="26"/>
      <c r="I104" s="26"/>
      <c r="J104" s="26"/>
      <c r="K104" s="21"/>
      <c r="L104" s="25"/>
      <c r="M104" s="26"/>
      <c r="N104" s="26"/>
      <c r="O104" s="26"/>
      <c r="P104" s="26"/>
      <c r="Q104" s="26"/>
      <c r="R104" s="26"/>
      <c r="S104" s="26"/>
      <c r="T104" s="23"/>
      <c r="U104" s="8"/>
      <c r="V104" s="8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 x14ac:dyDescent="0.2">
      <c r="A105" s="21"/>
      <c r="B105" s="22"/>
      <c r="C105" s="22"/>
      <c r="D105" s="22"/>
      <c r="E105" s="22"/>
      <c r="F105" s="22"/>
      <c r="G105" s="22"/>
      <c r="H105" s="26"/>
      <c r="I105" s="26"/>
      <c r="J105" s="26"/>
      <c r="K105" s="21"/>
      <c r="L105" s="25"/>
      <c r="M105" s="26"/>
      <c r="N105" s="26"/>
      <c r="O105" s="26"/>
      <c r="P105" s="26"/>
      <c r="Q105" s="26"/>
      <c r="R105" s="26"/>
      <c r="S105" s="26"/>
      <c r="T105" s="23"/>
      <c r="U105" s="8"/>
      <c r="V105" s="8"/>
      <c r="W105" s="2"/>
      <c r="X105" s="34"/>
      <c r="Y105" s="2"/>
      <c r="Z105" s="2"/>
      <c r="AA105" s="2"/>
      <c r="AB105" s="2"/>
      <c r="AC105" s="2"/>
      <c r="AD105" s="2"/>
    </row>
    <row r="106" spans="1:30" ht="15.75" customHeight="1" x14ac:dyDescent="0.2">
      <c r="A106" s="21"/>
      <c r="B106" s="22"/>
      <c r="C106" s="22"/>
      <c r="D106" s="22"/>
      <c r="E106" s="22"/>
      <c r="F106" s="22"/>
      <c r="G106" s="22"/>
      <c r="H106" s="26"/>
      <c r="I106" s="26"/>
      <c r="J106" s="26"/>
      <c r="K106" s="21"/>
      <c r="L106" s="25"/>
      <c r="M106" s="26"/>
      <c r="N106" s="26"/>
      <c r="O106" s="26"/>
      <c r="P106" s="26"/>
      <c r="Q106" s="26"/>
      <c r="R106" s="26"/>
      <c r="S106" s="26"/>
      <c r="T106" s="23"/>
      <c r="U106" s="8"/>
      <c r="V106" s="8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 x14ac:dyDescent="0.2">
      <c r="A107" s="21"/>
      <c r="B107" s="22"/>
      <c r="C107" s="22"/>
      <c r="D107" s="22"/>
      <c r="E107" s="22"/>
      <c r="F107" s="22"/>
      <c r="G107" s="22"/>
      <c r="H107" s="26"/>
      <c r="I107" s="26"/>
      <c r="J107" s="26"/>
      <c r="K107" s="21"/>
      <c r="L107" s="25"/>
      <c r="M107" s="26"/>
      <c r="N107" s="26"/>
      <c r="O107" s="26"/>
      <c r="P107" s="26"/>
      <c r="Q107" s="26"/>
      <c r="R107" s="26"/>
      <c r="S107" s="26"/>
      <c r="T107" s="23"/>
      <c r="U107" s="8"/>
      <c r="V107" s="8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 x14ac:dyDescent="0.2">
      <c r="A108" s="21"/>
      <c r="B108" s="22"/>
      <c r="C108" s="22"/>
      <c r="D108" s="22"/>
      <c r="E108" s="22"/>
      <c r="F108" s="22"/>
      <c r="G108" s="22"/>
      <c r="H108" s="26"/>
      <c r="I108" s="26"/>
      <c r="J108" s="26"/>
      <c r="K108" s="21"/>
      <c r="L108" s="25"/>
      <c r="M108" s="26"/>
      <c r="N108" s="26"/>
      <c r="O108" s="26"/>
      <c r="P108" s="26"/>
      <c r="Q108" s="26"/>
      <c r="R108" s="26"/>
      <c r="S108" s="26"/>
      <c r="T108" s="23"/>
      <c r="U108" s="8"/>
      <c r="V108" s="8"/>
      <c r="W108" s="8"/>
      <c r="X108" s="2"/>
      <c r="Y108" s="2"/>
      <c r="Z108" s="2"/>
      <c r="AA108" s="2"/>
      <c r="AB108" s="2"/>
      <c r="AC108" s="2"/>
      <c r="AD108" s="2"/>
    </row>
    <row r="109" spans="1:30" ht="15.75" customHeight="1" x14ac:dyDescent="0.2">
      <c r="A109" s="21"/>
      <c r="B109" s="22"/>
      <c r="C109" s="22"/>
      <c r="D109" s="22"/>
      <c r="E109" s="22"/>
      <c r="F109" s="22"/>
      <c r="G109" s="22"/>
      <c r="H109" s="26"/>
      <c r="I109" s="26"/>
      <c r="J109" s="26"/>
      <c r="K109" s="21"/>
      <c r="L109" s="25"/>
      <c r="M109" s="26"/>
      <c r="N109" s="26"/>
      <c r="O109" s="26"/>
      <c r="P109" s="26"/>
      <c r="Q109" s="26"/>
      <c r="R109" s="26"/>
      <c r="S109" s="26"/>
      <c r="T109" s="23"/>
      <c r="U109" s="8"/>
      <c r="V109" s="8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 x14ac:dyDescent="0.2">
      <c r="A110" s="21"/>
      <c r="B110" s="22"/>
      <c r="C110" s="22"/>
      <c r="D110" s="22"/>
      <c r="E110" s="22"/>
      <c r="F110" s="22"/>
      <c r="G110" s="22"/>
      <c r="H110" s="26"/>
      <c r="I110" s="26"/>
      <c r="J110" s="26"/>
      <c r="K110" s="21"/>
      <c r="L110" s="25"/>
      <c r="M110" s="26"/>
      <c r="N110" s="26"/>
      <c r="O110" s="26"/>
      <c r="P110" s="26"/>
      <c r="Q110" s="26"/>
      <c r="R110" s="26"/>
      <c r="S110" s="26"/>
      <c r="T110" s="23"/>
      <c r="U110" s="8"/>
      <c r="V110" s="8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 x14ac:dyDescent="0.2">
      <c r="A111" s="21"/>
      <c r="B111" s="22"/>
      <c r="C111" s="22"/>
      <c r="D111" s="22"/>
      <c r="E111" s="22"/>
      <c r="F111" s="22"/>
      <c r="G111" s="22"/>
      <c r="H111" s="26"/>
      <c r="I111" s="26"/>
      <c r="J111" s="26"/>
      <c r="K111" s="21"/>
      <c r="L111" s="25"/>
      <c r="M111" s="26"/>
      <c r="N111" s="26"/>
      <c r="O111" s="26"/>
      <c r="P111" s="26"/>
      <c r="Q111" s="26"/>
      <c r="R111" s="26"/>
      <c r="S111" s="26"/>
      <c r="T111" s="23"/>
      <c r="U111" s="8"/>
      <c r="V111" s="8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 x14ac:dyDescent="0.2">
      <c r="A112" s="21"/>
      <c r="B112" s="22"/>
      <c r="C112" s="22"/>
      <c r="D112" s="22"/>
      <c r="E112" s="22"/>
      <c r="F112" s="22"/>
      <c r="G112" s="22"/>
      <c r="H112" s="26"/>
      <c r="I112" s="26"/>
      <c r="J112" s="26"/>
      <c r="K112" s="21"/>
      <c r="L112" s="25"/>
      <c r="M112" s="26"/>
      <c r="N112" s="26"/>
      <c r="O112" s="26"/>
      <c r="P112" s="26"/>
      <c r="Q112" s="26"/>
      <c r="R112" s="26"/>
      <c r="S112" s="26"/>
      <c r="T112" s="23"/>
      <c r="U112" s="8"/>
      <c r="V112" s="8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 x14ac:dyDescent="0.2">
      <c r="A113" s="21"/>
      <c r="B113" s="22"/>
      <c r="C113" s="22"/>
      <c r="D113" s="22"/>
      <c r="E113" s="22"/>
      <c r="F113" s="22"/>
      <c r="G113" s="22"/>
      <c r="H113" s="26"/>
      <c r="I113" s="26"/>
      <c r="J113" s="26"/>
      <c r="K113" s="21"/>
      <c r="L113" s="25"/>
      <c r="M113" s="26"/>
      <c r="N113" s="26"/>
      <c r="O113" s="26"/>
      <c r="P113" s="26"/>
      <c r="Q113" s="26"/>
      <c r="R113" s="26"/>
      <c r="S113" s="26"/>
      <c r="T113" s="23"/>
      <c r="U113" s="8"/>
      <c r="V113" s="8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 x14ac:dyDescent="0.2">
      <c r="A114" s="21"/>
      <c r="B114" s="22"/>
      <c r="C114" s="22"/>
      <c r="D114" s="22"/>
      <c r="E114" s="22"/>
      <c r="F114" s="22"/>
      <c r="G114" s="22"/>
      <c r="H114" s="26"/>
      <c r="I114" s="26"/>
      <c r="J114" s="26"/>
      <c r="K114" s="21"/>
      <c r="L114" s="25"/>
      <c r="M114" s="26"/>
      <c r="N114" s="26"/>
      <c r="O114" s="26"/>
      <c r="P114" s="26"/>
      <c r="Q114" s="26"/>
      <c r="R114" s="26"/>
      <c r="S114" s="26"/>
      <c r="T114" s="23"/>
      <c r="U114" s="8"/>
      <c r="V114" s="8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 x14ac:dyDescent="0.2">
      <c r="A115" s="27"/>
      <c r="B115" s="2"/>
      <c r="C115" s="2"/>
      <c r="D115" s="2"/>
      <c r="E115" s="2"/>
      <c r="F115" s="2"/>
      <c r="G115" s="2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8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9"/>
      <c r="T117" s="1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 x14ac:dyDescent="0.2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 x14ac:dyDescent="0.2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 x14ac:dyDescent="0.2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7" customHeight="1" x14ac:dyDescent="0.2">
      <c r="A121" s="30"/>
      <c r="B121" s="31"/>
      <c r="C121" s="31"/>
      <c r="D121" s="31"/>
      <c r="E121" s="31"/>
      <c r="F121" s="31"/>
      <c r="G121" s="31"/>
      <c r="H121" s="31"/>
      <c r="I121" s="32"/>
      <c r="J121" s="32"/>
      <c r="K121" s="32"/>
      <c r="L121" s="33"/>
      <c r="M121" s="31"/>
      <c r="N121" s="31"/>
      <c r="O121" s="32"/>
      <c r="P121" s="31"/>
      <c r="Q121" s="31"/>
      <c r="R121" s="31"/>
      <c r="S121" s="31"/>
      <c r="T121" s="31"/>
      <c r="U121" s="31"/>
      <c r="V121" s="31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 x14ac:dyDescent="0.2">
      <c r="A122" s="21"/>
      <c r="B122" s="22"/>
      <c r="C122" s="22"/>
      <c r="D122" s="22"/>
      <c r="E122" s="22"/>
      <c r="F122" s="22"/>
      <c r="G122" s="22"/>
      <c r="H122" s="26"/>
      <c r="I122" s="26"/>
      <c r="J122" s="26"/>
      <c r="K122" s="21"/>
      <c r="L122" s="25"/>
      <c r="M122" s="26"/>
      <c r="N122" s="26"/>
      <c r="O122" s="26"/>
      <c r="P122" s="26"/>
      <c r="Q122" s="26"/>
      <c r="R122" s="26"/>
      <c r="S122" s="26"/>
      <c r="T122" s="23"/>
      <c r="U122" s="8"/>
      <c r="V122" s="8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 x14ac:dyDescent="0.2">
      <c r="A123" s="21"/>
      <c r="B123" s="22"/>
      <c r="C123" s="22"/>
      <c r="D123" s="22"/>
      <c r="E123" s="22"/>
      <c r="F123" s="22"/>
      <c r="G123" s="22"/>
      <c r="H123" s="26"/>
      <c r="I123" s="26"/>
      <c r="J123" s="26"/>
      <c r="K123" s="21"/>
      <c r="L123" s="25"/>
      <c r="M123" s="26"/>
      <c r="N123" s="26"/>
      <c r="O123" s="26"/>
      <c r="P123" s="26"/>
      <c r="Q123" s="26"/>
      <c r="R123" s="26"/>
      <c r="S123" s="26"/>
      <c r="T123" s="23"/>
      <c r="U123" s="8"/>
      <c r="V123" s="8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 x14ac:dyDescent="0.2">
      <c r="A124" s="21"/>
      <c r="B124" s="22"/>
      <c r="C124" s="22"/>
      <c r="D124" s="22"/>
      <c r="E124" s="22"/>
      <c r="F124" s="22"/>
      <c r="G124" s="22"/>
      <c r="H124" s="26"/>
      <c r="I124" s="26"/>
      <c r="J124" s="26"/>
      <c r="K124" s="21"/>
      <c r="L124" s="25"/>
      <c r="M124" s="26"/>
      <c r="N124" s="26"/>
      <c r="O124" s="26"/>
      <c r="P124" s="26"/>
      <c r="Q124" s="26"/>
      <c r="R124" s="26"/>
      <c r="S124" s="26"/>
      <c r="T124" s="23"/>
      <c r="U124" s="8"/>
      <c r="V124" s="8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 x14ac:dyDescent="0.2">
      <c r="A125" s="21"/>
      <c r="B125" s="22"/>
      <c r="C125" s="22"/>
      <c r="D125" s="22"/>
      <c r="E125" s="22"/>
      <c r="F125" s="22"/>
      <c r="G125" s="22"/>
      <c r="H125" s="26"/>
      <c r="I125" s="26"/>
      <c r="J125" s="26"/>
      <c r="K125" s="21"/>
      <c r="L125" s="25"/>
      <c r="M125" s="26"/>
      <c r="N125" s="26"/>
      <c r="O125" s="26"/>
      <c r="P125" s="26"/>
      <c r="Q125" s="26"/>
      <c r="R125" s="26"/>
      <c r="S125" s="26"/>
      <c r="T125" s="23"/>
      <c r="U125" s="8"/>
      <c r="V125" s="8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 x14ac:dyDescent="0.2">
      <c r="A126" s="21"/>
      <c r="B126" s="22"/>
      <c r="C126" s="22"/>
      <c r="D126" s="22"/>
      <c r="E126" s="22"/>
      <c r="F126" s="22"/>
      <c r="G126" s="22"/>
      <c r="H126" s="26"/>
      <c r="I126" s="26"/>
      <c r="J126" s="26"/>
      <c r="K126" s="21"/>
      <c r="L126" s="25"/>
      <c r="M126" s="26"/>
      <c r="N126" s="26"/>
      <c r="O126" s="26"/>
      <c r="P126" s="26"/>
      <c r="Q126" s="26"/>
      <c r="R126" s="26"/>
      <c r="S126" s="26"/>
      <c r="T126" s="23"/>
      <c r="U126" s="8"/>
      <c r="V126" s="8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 x14ac:dyDescent="0.2">
      <c r="A127" s="21"/>
      <c r="B127" s="22"/>
      <c r="C127" s="22"/>
      <c r="D127" s="22"/>
      <c r="E127" s="22"/>
      <c r="F127" s="22"/>
      <c r="G127" s="22"/>
      <c r="H127" s="26"/>
      <c r="I127" s="26"/>
      <c r="J127" s="26"/>
      <c r="K127" s="21"/>
      <c r="L127" s="25"/>
      <c r="M127" s="26"/>
      <c r="N127" s="26"/>
      <c r="O127" s="26"/>
      <c r="P127" s="26"/>
      <c r="Q127" s="26"/>
      <c r="R127" s="26"/>
      <c r="S127" s="26"/>
      <c r="T127" s="23"/>
      <c r="U127" s="8"/>
      <c r="V127" s="8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 x14ac:dyDescent="0.2">
      <c r="A128" s="21"/>
      <c r="B128" s="22"/>
      <c r="C128" s="22"/>
      <c r="D128" s="22"/>
      <c r="E128" s="22"/>
      <c r="F128" s="22"/>
      <c r="G128" s="22"/>
      <c r="H128" s="26"/>
      <c r="I128" s="26"/>
      <c r="J128" s="26"/>
      <c r="K128" s="21"/>
      <c r="L128" s="25"/>
      <c r="M128" s="26"/>
      <c r="N128" s="26"/>
      <c r="O128" s="26"/>
      <c r="P128" s="26"/>
      <c r="Q128" s="26"/>
      <c r="R128" s="26"/>
      <c r="S128" s="26"/>
      <c r="T128" s="23"/>
      <c r="U128" s="8"/>
      <c r="V128" s="8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 x14ac:dyDescent="0.2">
      <c r="A129" s="21"/>
      <c r="B129" s="22"/>
      <c r="C129" s="22"/>
      <c r="D129" s="22"/>
      <c r="E129" s="22"/>
      <c r="F129" s="22"/>
      <c r="G129" s="22"/>
      <c r="H129" s="26"/>
      <c r="I129" s="26"/>
      <c r="J129" s="26"/>
      <c r="K129" s="21"/>
      <c r="L129" s="25"/>
      <c r="M129" s="26"/>
      <c r="N129" s="26"/>
      <c r="O129" s="26"/>
      <c r="P129" s="26"/>
      <c r="Q129" s="26"/>
      <c r="R129" s="26"/>
      <c r="S129" s="26"/>
      <c r="T129" s="23"/>
      <c r="U129" s="8"/>
      <c r="V129" s="8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 x14ac:dyDescent="0.2">
      <c r="A130" s="21"/>
      <c r="B130" s="22"/>
      <c r="C130" s="22"/>
      <c r="D130" s="22"/>
      <c r="E130" s="22"/>
      <c r="F130" s="22"/>
      <c r="G130" s="22"/>
      <c r="H130" s="26"/>
      <c r="I130" s="26"/>
      <c r="J130" s="26"/>
      <c r="K130" s="21"/>
      <c r="L130" s="25"/>
      <c r="M130" s="26"/>
      <c r="N130" s="26"/>
      <c r="O130" s="26"/>
      <c r="P130" s="26"/>
      <c r="Q130" s="26"/>
      <c r="R130" s="26"/>
      <c r="S130" s="26"/>
      <c r="T130" s="23"/>
      <c r="U130" s="8"/>
      <c r="V130" s="8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 x14ac:dyDescent="0.2">
      <c r="A131" s="21"/>
      <c r="B131" s="22"/>
      <c r="C131" s="22"/>
      <c r="D131" s="22"/>
      <c r="E131" s="22"/>
      <c r="F131" s="22"/>
      <c r="G131" s="22"/>
      <c r="H131" s="26"/>
      <c r="I131" s="26"/>
      <c r="J131" s="26"/>
      <c r="K131" s="21"/>
      <c r="L131" s="25"/>
      <c r="M131" s="26"/>
      <c r="N131" s="26"/>
      <c r="O131" s="26"/>
      <c r="P131" s="26"/>
      <c r="Q131" s="26"/>
      <c r="R131" s="26"/>
      <c r="S131" s="26"/>
      <c r="T131" s="23"/>
      <c r="U131" s="8"/>
      <c r="V131" s="8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 x14ac:dyDescent="0.2">
      <c r="A132" s="21"/>
      <c r="B132" s="22"/>
      <c r="C132" s="22"/>
      <c r="D132" s="22"/>
      <c r="E132" s="22"/>
      <c r="F132" s="22"/>
      <c r="G132" s="22"/>
      <c r="H132" s="26"/>
      <c r="I132" s="26"/>
      <c r="J132" s="26"/>
      <c r="K132" s="21"/>
      <c r="L132" s="25"/>
      <c r="M132" s="26"/>
      <c r="N132" s="26"/>
      <c r="O132" s="26"/>
      <c r="P132" s="26"/>
      <c r="Q132" s="26"/>
      <c r="R132" s="26"/>
      <c r="S132" s="26"/>
      <c r="T132" s="23"/>
      <c r="U132" s="8"/>
      <c r="V132" s="8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 x14ac:dyDescent="0.2">
      <c r="A133" s="21"/>
      <c r="B133" s="22"/>
      <c r="C133" s="22"/>
      <c r="D133" s="22"/>
      <c r="E133" s="22"/>
      <c r="F133" s="22"/>
      <c r="G133" s="22"/>
      <c r="H133" s="26"/>
      <c r="I133" s="26"/>
      <c r="J133" s="26"/>
      <c r="K133" s="21"/>
      <c r="L133" s="25"/>
      <c r="M133" s="26"/>
      <c r="N133" s="26"/>
      <c r="O133" s="26"/>
      <c r="P133" s="26"/>
      <c r="Q133" s="26"/>
      <c r="R133" s="26"/>
      <c r="S133" s="26"/>
      <c r="T133" s="23"/>
      <c r="U133" s="8"/>
      <c r="V133" s="8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 x14ac:dyDescent="0.2">
      <c r="A134" s="21"/>
      <c r="B134" s="22"/>
      <c r="C134" s="22"/>
      <c r="D134" s="22"/>
      <c r="E134" s="22"/>
      <c r="F134" s="22"/>
      <c r="G134" s="22"/>
      <c r="H134" s="26"/>
      <c r="I134" s="26"/>
      <c r="J134" s="26"/>
      <c r="K134" s="21"/>
      <c r="L134" s="25"/>
      <c r="M134" s="26"/>
      <c r="N134" s="26"/>
      <c r="O134" s="26"/>
      <c r="P134" s="26"/>
      <c r="Q134" s="26"/>
      <c r="R134" s="26"/>
      <c r="S134" s="26"/>
      <c r="T134" s="23"/>
      <c r="U134" s="8"/>
      <c r="V134" s="8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 x14ac:dyDescent="0.2">
      <c r="A135" s="21"/>
      <c r="B135" s="22"/>
      <c r="C135" s="22"/>
      <c r="D135" s="22"/>
      <c r="E135" s="22"/>
      <c r="F135" s="22"/>
      <c r="G135" s="22"/>
      <c r="H135" s="26"/>
      <c r="I135" s="26"/>
      <c r="J135" s="26"/>
      <c r="K135" s="21"/>
      <c r="L135" s="25"/>
      <c r="M135" s="26"/>
      <c r="N135" s="26"/>
      <c r="O135" s="26"/>
      <c r="P135" s="26"/>
      <c r="Q135" s="26"/>
      <c r="R135" s="26"/>
      <c r="S135" s="26"/>
      <c r="T135" s="23"/>
      <c r="U135" s="8"/>
      <c r="V135" s="8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 x14ac:dyDescent="0.2">
      <c r="A136" s="27"/>
      <c r="B136" s="2"/>
      <c r="C136" s="2"/>
      <c r="D136" s="2"/>
      <c r="E136" s="2"/>
      <c r="F136" s="2"/>
      <c r="G136" s="2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8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9"/>
      <c r="T138" s="1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 x14ac:dyDescent="0.2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 x14ac:dyDescent="0.2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 x14ac:dyDescent="0.2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9.25" customHeight="1" x14ac:dyDescent="0.2">
      <c r="A142" s="30"/>
      <c r="B142" s="31"/>
      <c r="C142" s="31"/>
      <c r="D142" s="31"/>
      <c r="E142" s="31"/>
      <c r="F142" s="31"/>
      <c r="G142" s="31"/>
      <c r="H142" s="31"/>
      <c r="I142" s="32"/>
      <c r="J142" s="32"/>
      <c r="K142" s="32"/>
      <c r="L142" s="33"/>
      <c r="M142" s="31"/>
      <c r="N142" s="31"/>
      <c r="O142" s="32"/>
      <c r="P142" s="31"/>
      <c r="Q142" s="31"/>
      <c r="R142" s="31"/>
      <c r="S142" s="31"/>
      <c r="T142" s="31"/>
      <c r="U142" s="31"/>
      <c r="V142" s="31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 x14ac:dyDescent="0.2">
      <c r="A143" s="21"/>
      <c r="B143" s="22"/>
      <c r="C143" s="22"/>
      <c r="D143" s="22"/>
      <c r="E143" s="22"/>
      <c r="F143" s="22"/>
      <c r="G143" s="22"/>
      <c r="H143" s="26"/>
      <c r="I143" s="26"/>
      <c r="J143" s="26"/>
      <c r="K143" s="21"/>
      <c r="L143" s="25"/>
      <c r="M143" s="26"/>
      <c r="N143" s="26"/>
      <c r="O143" s="26"/>
      <c r="P143" s="26"/>
      <c r="Q143" s="26"/>
      <c r="R143" s="26"/>
      <c r="S143" s="26"/>
      <c r="T143" s="23"/>
      <c r="U143" s="8"/>
      <c r="V143" s="8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 x14ac:dyDescent="0.2">
      <c r="A144" s="21"/>
      <c r="B144" s="22"/>
      <c r="C144" s="22"/>
      <c r="D144" s="22"/>
      <c r="E144" s="22"/>
      <c r="F144" s="22"/>
      <c r="G144" s="22"/>
      <c r="H144" s="26"/>
      <c r="I144" s="26"/>
      <c r="J144" s="26"/>
      <c r="K144" s="21"/>
      <c r="L144" s="25"/>
      <c r="M144" s="26"/>
      <c r="N144" s="26"/>
      <c r="O144" s="26"/>
      <c r="P144" s="26"/>
      <c r="Q144" s="26"/>
      <c r="R144" s="26"/>
      <c r="S144" s="26"/>
      <c r="T144" s="23"/>
      <c r="U144" s="8"/>
      <c r="V144" s="8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 x14ac:dyDescent="0.2">
      <c r="A145" s="21"/>
      <c r="B145" s="22"/>
      <c r="C145" s="22"/>
      <c r="D145" s="22"/>
      <c r="E145" s="22"/>
      <c r="F145" s="22"/>
      <c r="G145" s="22"/>
      <c r="H145" s="26"/>
      <c r="I145" s="26"/>
      <c r="J145" s="26"/>
      <c r="K145" s="21"/>
      <c r="L145" s="25"/>
      <c r="M145" s="26"/>
      <c r="N145" s="26"/>
      <c r="O145" s="26"/>
      <c r="P145" s="26"/>
      <c r="Q145" s="26"/>
      <c r="R145" s="26"/>
      <c r="S145" s="26"/>
      <c r="T145" s="23"/>
      <c r="U145" s="8"/>
      <c r="V145" s="8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 x14ac:dyDescent="0.2">
      <c r="A146" s="21"/>
      <c r="B146" s="22"/>
      <c r="C146" s="22"/>
      <c r="D146" s="22"/>
      <c r="E146" s="22"/>
      <c r="F146" s="22"/>
      <c r="G146" s="22"/>
      <c r="H146" s="26"/>
      <c r="I146" s="26"/>
      <c r="J146" s="26"/>
      <c r="K146" s="21"/>
      <c r="L146" s="25"/>
      <c r="M146" s="26"/>
      <c r="N146" s="26"/>
      <c r="O146" s="26"/>
      <c r="P146" s="26"/>
      <c r="Q146" s="26"/>
      <c r="R146" s="26"/>
      <c r="S146" s="26"/>
      <c r="T146" s="23"/>
      <c r="U146" s="8"/>
      <c r="V146" s="8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 x14ac:dyDescent="0.2">
      <c r="A147" s="21"/>
      <c r="B147" s="22"/>
      <c r="C147" s="22"/>
      <c r="D147" s="22"/>
      <c r="E147" s="22"/>
      <c r="F147" s="22"/>
      <c r="G147" s="22"/>
      <c r="H147" s="26"/>
      <c r="I147" s="26"/>
      <c r="J147" s="26"/>
      <c r="K147" s="21"/>
      <c r="L147" s="25"/>
      <c r="M147" s="26"/>
      <c r="N147" s="26"/>
      <c r="O147" s="26"/>
      <c r="P147" s="26"/>
      <c r="Q147" s="26"/>
      <c r="R147" s="26"/>
      <c r="S147" s="26"/>
      <c r="T147" s="23"/>
      <c r="U147" s="8"/>
      <c r="V147" s="8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 x14ac:dyDescent="0.2">
      <c r="A148" s="21"/>
      <c r="B148" s="22"/>
      <c r="C148" s="22"/>
      <c r="D148" s="22"/>
      <c r="E148" s="22"/>
      <c r="F148" s="22"/>
      <c r="G148" s="22"/>
      <c r="H148" s="26"/>
      <c r="I148" s="26"/>
      <c r="J148" s="26"/>
      <c r="K148" s="21"/>
      <c r="L148" s="25"/>
      <c r="M148" s="26"/>
      <c r="N148" s="26"/>
      <c r="O148" s="26"/>
      <c r="P148" s="26"/>
      <c r="Q148" s="26"/>
      <c r="R148" s="26"/>
      <c r="S148" s="26"/>
      <c r="T148" s="23"/>
      <c r="U148" s="8"/>
      <c r="V148" s="8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 x14ac:dyDescent="0.2">
      <c r="A149" s="21"/>
      <c r="B149" s="22"/>
      <c r="C149" s="22"/>
      <c r="D149" s="22"/>
      <c r="E149" s="22"/>
      <c r="F149" s="22"/>
      <c r="G149" s="22"/>
      <c r="H149" s="26"/>
      <c r="I149" s="26"/>
      <c r="J149" s="26"/>
      <c r="K149" s="21"/>
      <c r="L149" s="25"/>
      <c r="M149" s="26"/>
      <c r="N149" s="26"/>
      <c r="O149" s="26"/>
      <c r="P149" s="26"/>
      <c r="Q149" s="26"/>
      <c r="R149" s="26"/>
      <c r="S149" s="26"/>
      <c r="T149" s="23"/>
      <c r="U149" s="8"/>
      <c r="V149" s="8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 x14ac:dyDescent="0.2">
      <c r="A150" s="21"/>
      <c r="B150" s="22"/>
      <c r="C150" s="22"/>
      <c r="D150" s="22"/>
      <c r="E150" s="22"/>
      <c r="F150" s="22"/>
      <c r="G150" s="22"/>
      <c r="H150" s="26"/>
      <c r="I150" s="26"/>
      <c r="J150" s="26"/>
      <c r="K150" s="21"/>
      <c r="L150" s="25"/>
      <c r="M150" s="26"/>
      <c r="N150" s="26"/>
      <c r="O150" s="26"/>
      <c r="P150" s="26"/>
      <c r="Q150" s="26"/>
      <c r="R150" s="26"/>
      <c r="S150" s="26"/>
      <c r="T150" s="23"/>
      <c r="U150" s="8"/>
      <c r="V150" s="8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 x14ac:dyDescent="0.2">
      <c r="A151" s="21"/>
      <c r="B151" s="22"/>
      <c r="C151" s="22"/>
      <c r="D151" s="22"/>
      <c r="E151" s="22"/>
      <c r="F151" s="22"/>
      <c r="G151" s="22"/>
      <c r="H151" s="26"/>
      <c r="I151" s="26"/>
      <c r="J151" s="26"/>
      <c r="K151" s="21"/>
      <c r="L151" s="25"/>
      <c r="M151" s="26"/>
      <c r="N151" s="26"/>
      <c r="O151" s="26"/>
      <c r="P151" s="26"/>
      <c r="Q151" s="26"/>
      <c r="R151" s="26"/>
      <c r="S151" s="26"/>
      <c r="T151" s="23"/>
      <c r="U151" s="8"/>
      <c r="V151" s="8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 x14ac:dyDescent="0.2">
      <c r="A152" s="21"/>
      <c r="B152" s="22"/>
      <c r="C152" s="22"/>
      <c r="D152" s="22"/>
      <c r="E152" s="22"/>
      <c r="F152" s="22"/>
      <c r="G152" s="22"/>
      <c r="H152" s="26"/>
      <c r="I152" s="26"/>
      <c r="J152" s="26"/>
      <c r="K152" s="21"/>
      <c r="L152" s="25"/>
      <c r="M152" s="26"/>
      <c r="N152" s="26"/>
      <c r="O152" s="26"/>
      <c r="P152" s="26"/>
      <c r="Q152" s="26"/>
      <c r="R152" s="26"/>
      <c r="S152" s="26"/>
      <c r="T152" s="23"/>
      <c r="U152" s="8"/>
      <c r="V152" s="8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 x14ac:dyDescent="0.2">
      <c r="A153" s="21"/>
      <c r="B153" s="22"/>
      <c r="C153" s="22"/>
      <c r="D153" s="22"/>
      <c r="E153" s="22"/>
      <c r="F153" s="22"/>
      <c r="G153" s="22"/>
      <c r="H153" s="26"/>
      <c r="I153" s="26"/>
      <c r="J153" s="26"/>
      <c r="K153" s="21"/>
      <c r="L153" s="25"/>
      <c r="M153" s="26"/>
      <c r="N153" s="26"/>
      <c r="O153" s="26"/>
      <c r="P153" s="26"/>
      <c r="Q153" s="26"/>
      <c r="R153" s="26"/>
      <c r="S153" s="26"/>
      <c r="T153" s="23"/>
      <c r="U153" s="8"/>
      <c r="V153" s="8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 x14ac:dyDescent="0.2">
      <c r="A154" s="21"/>
      <c r="B154" s="22"/>
      <c r="C154" s="22"/>
      <c r="D154" s="22"/>
      <c r="E154" s="22"/>
      <c r="F154" s="22"/>
      <c r="G154" s="22"/>
      <c r="H154" s="26"/>
      <c r="I154" s="26"/>
      <c r="J154" s="26"/>
      <c r="K154" s="21"/>
      <c r="L154" s="25"/>
      <c r="M154" s="26"/>
      <c r="N154" s="26"/>
      <c r="O154" s="26"/>
      <c r="P154" s="26"/>
      <c r="Q154" s="26"/>
      <c r="R154" s="26"/>
      <c r="S154" s="26"/>
      <c r="T154" s="23"/>
      <c r="U154" s="8"/>
      <c r="V154" s="8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 x14ac:dyDescent="0.2">
      <c r="A155" s="21"/>
      <c r="B155" s="22"/>
      <c r="C155" s="22"/>
      <c r="D155" s="22"/>
      <c r="E155" s="22"/>
      <c r="F155" s="22"/>
      <c r="G155" s="22"/>
      <c r="H155" s="26"/>
      <c r="I155" s="26"/>
      <c r="J155" s="26"/>
      <c r="K155" s="21"/>
      <c r="L155" s="25"/>
      <c r="M155" s="26"/>
      <c r="N155" s="26"/>
      <c r="O155" s="26"/>
      <c r="P155" s="26"/>
      <c r="Q155" s="26"/>
      <c r="R155" s="26"/>
      <c r="S155" s="26"/>
      <c r="T155" s="23"/>
      <c r="U155" s="8"/>
      <c r="V155" s="8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 x14ac:dyDescent="0.2">
      <c r="A156" s="21"/>
      <c r="B156" s="22"/>
      <c r="C156" s="22"/>
      <c r="D156" s="22"/>
      <c r="E156" s="22"/>
      <c r="F156" s="22"/>
      <c r="G156" s="22"/>
      <c r="H156" s="26"/>
      <c r="I156" s="26"/>
      <c r="J156" s="26"/>
      <c r="K156" s="21"/>
      <c r="L156" s="25"/>
      <c r="M156" s="26"/>
      <c r="N156" s="26"/>
      <c r="O156" s="26"/>
      <c r="P156" s="26"/>
      <c r="Q156" s="26"/>
      <c r="R156" s="26"/>
      <c r="S156" s="26"/>
      <c r="T156" s="23"/>
      <c r="U156" s="8"/>
      <c r="V156" s="8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 x14ac:dyDescent="0.2">
      <c r="A157" s="21"/>
      <c r="B157" s="22"/>
      <c r="C157" s="22"/>
      <c r="D157" s="22"/>
      <c r="E157" s="22"/>
      <c r="F157" s="22"/>
      <c r="G157" s="22"/>
      <c r="H157" s="26"/>
      <c r="I157" s="26"/>
      <c r="J157" s="26"/>
      <c r="K157" s="21"/>
      <c r="L157" s="25"/>
      <c r="M157" s="26"/>
      <c r="N157" s="26"/>
      <c r="O157" s="26"/>
      <c r="P157" s="26"/>
      <c r="Q157" s="26"/>
      <c r="R157" s="26"/>
      <c r="S157" s="26"/>
      <c r="T157" s="23"/>
      <c r="U157" s="8"/>
      <c r="V157" s="8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 x14ac:dyDescent="0.2">
      <c r="A158" s="27"/>
      <c r="B158" s="2"/>
      <c r="C158" s="2"/>
      <c r="D158" s="2"/>
      <c r="E158" s="2"/>
      <c r="F158" s="2"/>
      <c r="G158" s="2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8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9"/>
      <c r="T160" s="1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 x14ac:dyDescent="0.2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 x14ac:dyDescent="0.2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 x14ac:dyDescent="0.2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5.5" customHeight="1" x14ac:dyDescent="0.2">
      <c r="A164" s="30"/>
      <c r="B164" s="31"/>
      <c r="C164" s="31"/>
      <c r="D164" s="31"/>
      <c r="E164" s="31"/>
      <c r="F164" s="31"/>
      <c r="G164" s="31"/>
      <c r="H164" s="31"/>
      <c r="I164" s="32"/>
      <c r="J164" s="32"/>
      <c r="K164" s="32"/>
      <c r="L164" s="33"/>
      <c r="M164" s="31"/>
      <c r="N164" s="31"/>
      <c r="O164" s="32"/>
      <c r="P164" s="31"/>
      <c r="Q164" s="31"/>
      <c r="R164" s="31"/>
      <c r="S164" s="31"/>
      <c r="T164" s="31"/>
      <c r="U164" s="31"/>
      <c r="V164" s="31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 x14ac:dyDescent="0.2">
      <c r="A165" s="21"/>
      <c r="B165" s="22"/>
      <c r="C165" s="22"/>
      <c r="D165" s="22"/>
      <c r="E165" s="22"/>
      <c r="F165" s="22"/>
      <c r="G165" s="22"/>
      <c r="H165" s="26"/>
      <c r="I165" s="26"/>
      <c r="J165" s="26"/>
      <c r="K165" s="21"/>
      <c r="L165" s="25"/>
      <c r="M165" s="26"/>
      <c r="N165" s="26"/>
      <c r="O165" s="26"/>
      <c r="P165" s="26"/>
      <c r="Q165" s="26"/>
      <c r="R165" s="26"/>
      <c r="S165" s="26"/>
      <c r="T165" s="23"/>
      <c r="U165" s="8"/>
      <c r="V165" s="8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 x14ac:dyDescent="0.2">
      <c r="A166" s="21"/>
      <c r="B166" s="22"/>
      <c r="C166" s="22"/>
      <c r="D166" s="22"/>
      <c r="E166" s="22"/>
      <c r="F166" s="22"/>
      <c r="G166" s="22"/>
      <c r="H166" s="26"/>
      <c r="I166" s="26"/>
      <c r="J166" s="26"/>
      <c r="K166" s="21"/>
      <c r="L166" s="25"/>
      <c r="M166" s="26"/>
      <c r="N166" s="26"/>
      <c r="O166" s="26"/>
      <c r="P166" s="26"/>
      <c r="Q166" s="26"/>
      <c r="R166" s="26"/>
      <c r="S166" s="26"/>
      <c r="T166" s="23"/>
      <c r="U166" s="8"/>
      <c r="V166" s="8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 x14ac:dyDescent="0.2">
      <c r="A167" s="21"/>
      <c r="B167" s="22"/>
      <c r="C167" s="22"/>
      <c r="D167" s="22"/>
      <c r="E167" s="22"/>
      <c r="F167" s="22"/>
      <c r="G167" s="22"/>
      <c r="H167" s="26"/>
      <c r="I167" s="26"/>
      <c r="J167" s="26"/>
      <c r="K167" s="21"/>
      <c r="L167" s="25"/>
      <c r="M167" s="26"/>
      <c r="N167" s="26"/>
      <c r="O167" s="26"/>
      <c r="P167" s="26"/>
      <c r="Q167" s="26"/>
      <c r="R167" s="26"/>
      <c r="S167" s="26"/>
      <c r="T167" s="23"/>
      <c r="U167" s="8"/>
      <c r="V167" s="8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 x14ac:dyDescent="0.2">
      <c r="A168" s="21"/>
      <c r="B168" s="22"/>
      <c r="C168" s="22"/>
      <c r="D168" s="22"/>
      <c r="E168" s="22"/>
      <c r="F168" s="22"/>
      <c r="G168" s="22"/>
      <c r="H168" s="26"/>
      <c r="I168" s="26"/>
      <c r="J168" s="26"/>
      <c r="K168" s="21"/>
      <c r="L168" s="25"/>
      <c r="M168" s="26"/>
      <c r="N168" s="26"/>
      <c r="O168" s="26"/>
      <c r="P168" s="26"/>
      <c r="Q168" s="26"/>
      <c r="R168" s="26"/>
      <c r="S168" s="26"/>
      <c r="T168" s="23"/>
      <c r="U168" s="8"/>
      <c r="V168" s="8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 x14ac:dyDescent="0.2">
      <c r="A169" s="21"/>
      <c r="B169" s="22"/>
      <c r="C169" s="22"/>
      <c r="D169" s="22"/>
      <c r="E169" s="22"/>
      <c r="F169" s="22"/>
      <c r="G169" s="22"/>
      <c r="H169" s="26"/>
      <c r="I169" s="26"/>
      <c r="J169" s="26"/>
      <c r="K169" s="21"/>
      <c r="L169" s="25"/>
      <c r="M169" s="26"/>
      <c r="N169" s="26"/>
      <c r="O169" s="26"/>
      <c r="P169" s="26"/>
      <c r="Q169" s="26"/>
      <c r="R169" s="26"/>
      <c r="S169" s="26"/>
      <c r="T169" s="23"/>
      <c r="U169" s="8"/>
      <c r="V169" s="8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 x14ac:dyDescent="0.2">
      <c r="A170" s="21"/>
      <c r="B170" s="22"/>
      <c r="C170" s="22"/>
      <c r="D170" s="22"/>
      <c r="E170" s="22"/>
      <c r="F170" s="22"/>
      <c r="G170" s="22"/>
      <c r="H170" s="26"/>
      <c r="I170" s="26"/>
      <c r="J170" s="26"/>
      <c r="K170" s="21"/>
      <c r="L170" s="25"/>
      <c r="M170" s="26"/>
      <c r="N170" s="26"/>
      <c r="O170" s="26"/>
      <c r="P170" s="26"/>
      <c r="Q170" s="26"/>
      <c r="R170" s="26"/>
      <c r="S170" s="26"/>
      <c r="T170" s="23"/>
      <c r="U170" s="8"/>
      <c r="V170" s="8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 x14ac:dyDescent="0.2">
      <c r="A171" s="21"/>
      <c r="B171" s="22"/>
      <c r="C171" s="22"/>
      <c r="D171" s="22"/>
      <c r="E171" s="22"/>
      <c r="F171" s="22"/>
      <c r="G171" s="22"/>
      <c r="H171" s="26"/>
      <c r="I171" s="26"/>
      <c r="J171" s="26"/>
      <c r="K171" s="21"/>
      <c r="L171" s="25"/>
      <c r="M171" s="26"/>
      <c r="N171" s="26"/>
      <c r="O171" s="26"/>
      <c r="P171" s="26"/>
      <c r="Q171" s="26"/>
      <c r="R171" s="26"/>
      <c r="S171" s="26"/>
      <c r="T171" s="23"/>
      <c r="U171" s="8"/>
      <c r="V171" s="8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 x14ac:dyDescent="0.2">
      <c r="A172" s="21"/>
      <c r="B172" s="22"/>
      <c r="C172" s="22"/>
      <c r="D172" s="22"/>
      <c r="E172" s="22"/>
      <c r="F172" s="22"/>
      <c r="G172" s="22"/>
      <c r="H172" s="26"/>
      <c r="I172" s="26"/>
      <c r="J172" s="26"/>
      <c r="K172" s="21"/>
      <c r="L172" s="25"/>
      <c r="M172" s="26"/>
      <c r="N172" s="26"/>
      <c r="O172" s="26"/>
      <c r="P172" s="26"/>
      <c r="Q172" s="26"/>
      <c r="R172" s="26"/>
      <c r="S172" s="26"/>
      <c r="T172" s="23"/>
      <c r="U172" s="8"/>
      <c r="V172" s="8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 x14ac:dyDescent="0.2">
      <c r="A173" s="21"/>
      <c r="B173" s="22"/>
      <c r="C173" s="22"/>
      <c r="D173" s="22"/>
      <c r="E173" s="22"/>
      <c r="F173" s="22"/>
      <c r="G173" s="22"/>
      <c r="H173" s="26"/>
      <c r="I173" s="26"/>
      <c r="J173" s="26"/>
      <c r="K173" s="21"/>
      <c r="L173" s="25"/>
      <c r="M173" s="26"/>
      <c r="N173" s="26"/>
      <c r="O173" s="26"/>
      <c r="P173" s="26"/>
      <c r="Q173" s="26"/>
      <c r="R173" s="26"/>
      <c r="S173" s="26"/>
      <c r="T173" s="23"/>
      <c r="U173" s="8"/>
      <c r="V173" s="8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 x14ac:dyDescent="0.2">
      <c r="A174" s="21"/>
      <c r="B174" s="22"/>
      <c r="C174" s="22"/>
      <c r="D174" s="22"/>
      <c r="E174" s="22"/>
      <c r="F174" s="22"/>
      <c r="G174" s="22"/>
      <c r="H174" s="26"/>
      <c r="I174" s="26"/>
      <c r="J174" s="26"/>
      <c r="K174" s="21"/>
      <c r="L174" s="25"/>
      <c r="M174" s="26"/>
      <c r="N174" s="26"/>
      <c r="O174" s="26"/>
      <c r="P174" s="26"/>
      <c r="Q174" s="26"/>
      <c r="R174" s="26"/>
      <c r="S174" s="26"/>
      <c r="T174" s="23"/>
      <c r="U174" s="8"/>
      <c r="V174" s="8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 x14ac:dyDescent="0.2">
      <c r="A175" s="21"/>
      <c r="B175" s="22"/>
      <c r="C175" s="22"/>
      <c r="D175" s="22"/>
      <c r="E175" s="22"/>
      <c r="F175" s="22"/>
      <c r="G175" s="22"/>
      <c r="H175" s="26"/>
      <c r="I175" s="26"/>
      <c r="J175" s="26"/>
      <c r="K175" s="21"/>
      <c r="L175" s="25"/>
      <c r="M175" s="26"/>
      <c r="N175" s="26"/>
      <c r="O175" s="26"/>
      <c r="P175" s="26"/>
      <c r="Q175" s="26"/>
      <c r="R175" s="26"/>
      <c r="S175" s="26"/>
      <c r="T175" s="23"/>
      <c r="U175" s="8"/>
      <c r="V175" s="8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 x14ac:dyDescent="0.2">
      <c r="A176" s="21"/>
      <c r="B176" s="22"/>
      <c r="C176" s="22"/>
      <c r="D176" s="22"/>
      <c r="E176" s="22"/>
      <c r="F176" s="22"/>
      <c r="G176" s="22"/>
      <c r="H176" s="26"/>
      <c r="I176" s="26"/>
      <c r="J176" s="26"/>
      <c r="K176" s="21"/>
      <c r="L176" s="25"/>
      <c r="M176" s="26"/>
      <c r="N176" s="26"/>
      <c r="O176" s="26"/>
      <c r="P176" s="26"/>
      <c r="Q176" s="26"/>
      <c r="R176" s="26"/>
      <c r="S176" s="26"/>
      <c r="T176" s="23"/>
      <c r="U176" s="8"/>
      <c r="V176" s="8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 x14ac:dyDescent="0.2">
      <c r="A177" s="21"/>
      <c r="B177" s="22"/>
      <c r="C177" s="22"/>
      <c r="D177" s="22"/>
      <c r="E177" s="22"/>
      <c r="F177" s="22"/>
      <c r="G177" s="22"/>
      <c r="H177" s="26"/>
      <c r="I177" s="26"/>
      <c r="J177" s="26"/>
      <c r="K177" s="21"/>
      <c r="L177" s="25"/>
      <c r="M177" s="26"/>
      <c r="N177" s="26"/>
      <c r="O177" s="26"/>
      <c r="P177" s="26"/>
      <c r="Q177" s="26"/>
      <c r="R177" s="26"/>
      <c r="S177" s="26"/>
      <c r="T177" s="23"/>
      <c r="U177" s="8"/>
      <c r="V177" s="8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 x14ac:dyDescent="0.2">
      <c r="A178" s="21"/>
      <c r="B178" s="22"/>
      <c r="C178" s="22"/>
      <c r="D178" s="22"/>
      <c r="E178" s="22"/>
      <c r="F178" s="22"/>
      <c r="G178" s="22"/>
      <c r="H178" s="26"/>
      <c r="I178" s="26"/>
      <c r="J178" s="26"/>
      <c r="K178" s="21"/>
      <c r="L178" s="25"/>
      <c r="M178" s="26"/>
      <c r="N178" s="26"/>
      <c r="O178" s="26"/>
      <c r="P178" s="26"/>
      <c r="Q178" s="26"/>
      <c r="R178" s="26"/>
      <c r="S178" s="26"/>
      <c r="T178" s="23"/>
      <c r="U178" s="8"/>
      <c r="V178" s="8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 x14ac:dyDescent="0.2">
      <c r="A179" s="21"/>
      <c r="B179" s="22"/>
      <c r="C179" s="22"/>
      <c r="D179" s="22"/>
      <c r="E179" s="22"/>
      <c r="F179" s="22"/>
      <c r="G179" s="22"/>
      <c r="H179" s="26"/>
      <c r="I179" s="26"/>
      <c r="J179" s="26"/>
      <c r="K179" s="21"/>
      <c r="L179" s="25"/>
      <c r="M179" s="26"/>
      <c r="N179" s="26"/>
      <c r="O179" s="26"/>
      <c r="P179" s="26"/>
      <c r="Q179" s="26"/>
      <c r="R179" s="26"/>
      <c r="S179" s="26"/>
      <c r="T179" s="23"/>
      <c r="U179" s="8"/>
      <c r="V179" s="8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 x14ac:dyDescent="0.2">
      <c r="A180" s="27"/>
      <c r="B180" s="2"/>
      <c r="C180" s="2"/>
      <c r="D180" s="2"/>
      <c r="E180" s="2"/>
      <c r="F180" s="2"/>
      <c r="G180" s="2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8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9"/>
      <c r="T182" s="1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30" customHeight="1" x14ac:dyDescent="0.2">
      <c r="A184" s="30"/>
      <c r="B184" s="31"/>
      <c r="C184" s="31"/>
      <c r="D184" s="31"/>
      <c r="E184" s="31"/>
      <c r="F184" s="31"/>
      <c r="G184" s="31"/>
      <c r="H184" s="31"/>
      <c r="I184" s="32"/>
      <c r="J184" s="32"/>
      <c r="K184" s="32"/>
      <c r="L184" s="33"/>
      <c r="M184" s="31"/>
      <c r="N184" s="31"/>
      <c r="O184" s="32"/>
      <c r="P184" s="31"/>
      <c r="Q184" s="31"/>
      <c r="R184" s="31"/>
      <c r="S184" s="31"/>
      <c r="T184" s="31"/>
      <c r="U184" s="31"/>
      <c r="V184" s="31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 x14ac:dyDescent="0.2">
      <c r="A185" s="21"/>
      <c r="B185" s="22"/>
      <c r="C185" s="22"/>
      <c r="D185" s="22"/>
      <c r="E185" s="22"/>
      <c r="F185" s="22"/>
      <c r="G185" s="22"/>
      <c r="H185" s="26"/>
      <c r="I185" s="26"/>
      <c r="J185" s="26"/>
      <c r="K185" s="21"/>
      <c r="L185" s="25"/>
      <c r="M185" s="26"/>
      <c r="N185" s="26"/>
      <c r="O185" s="26"/>
      <c r="P185" s="26"/>
      <c r="Q185" s="26"/>
      <c r="R185" s="26"/>
      <c r="S185" s="26"/>
      <c r="T185" s="23"/>
      <c r="U185" s="8"/>
      <c r="V185" s="8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 x14ac:dyDescent="0.2">
      <c r="A186" s="21"/>
      <c r="B186" s="22"/>
      <c r="C186" s="22"/>
      <c r="D186" s="22"/>
      <c r="E186" s="22"/>
      <c r="F186" s="22"/>
      <c r="G186" s="22"/>
      <c r="H186" s="26"/>
      <c r="I186" s="26"/>
      <c r="J186" s="26"/>
      <c r="K186" s="21"/>
      <c r="L186" s="25"/>
      <c r="M186" s="26"/>
      <c r="N186" s="26"/>
      <c r="O186" s="26"/>
      <c r="P186" s="26"/>
      <c r="Q186" s="26"/>
      <c r="R186" s="26"/>
      <c r="S186" s="26"/>
      <c r="T186" s="23"/>
      <c r="U186" s="8"/>
      <c r="V186" s="8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 x14ac:dyDescent="0.2">
      <c r="A187" s="21"/>
      <c r="B187" s="22"/>
      <c r="C187" s="22"/>
      <c r="D187" s="22"/>
      <c r="E187" s="22"/>
      <c r="F187" s="22"/>
      <c r="G187" s="22"/>
      <c r="H187" s="26"/>
      <c r="I187" s="26"/>
      <c r="J187" s="26"/>
      <c r="K187" s="21"/>
      <c r="L187" s="25"/>
      <c r="M187" s="26"/>
      <c r="N187" s="26"/>
      <c r="O187" s="26"/>
      <c r="P187" s="26"/>
      <c r="Q187" s="26"/>
      <c r="R187" s="26"/>
      <c r="S187" s="26"/>
      <c r="T187" s="23"/>
      <c r="U187" s="8"/>
      <c r="V187" s="8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 x14ac:dyDescent="0.2">
      <c r="A188" s="21"/>
      <c r="B188" s="22"/>
      <c r="C188" s="22"/>
      <c r="D188" s="22"/>
      <c r="E188" s="22"/>
      <c r="F188" s="22"/>
      <c r="G188" s="22"/>
      <c r="H188" s="26"/>
      <c r="I188" s="26"/>
      <c r="J188" s="26"/>
      <c r="K188" s="21"/>
      <c r="L188" s="25"/>
      <c r="M188" s="26"/>
      <c r="N188" s="26"/>
      <c r="O188" s="26"/>
      <c r="P188" s="26"/>
      <c r="Q188" s="26"/>
      <c r="R188" s="26"/>
      <c r="S188" s="26"/>
      <c r="T188" s="23"/>
      <c r="U188" s="8"/>
      <c r="V188" s="8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 x14ac:dyDescent="0.2">
      <c r="A189" s="21"/>
      <c r="B189" s="22"/>
      <c r="C189" s="22"/>
      <c r="D189" s="22"/>
      <c r="E189" s="22"/>
      <c r="F189" s="22"/>
      <c r="G189" s="22"/>
      <c r="H189" s="26"/>
      <c r="I189" s="26"/>
      <c r="J189" s="26"/>
      <c r="K189" s="21"/>
      <c r="L189" s="25"/>
      <c r="M189" s="26"/>
      <c r="N189" s="26"/>
      <c r="O189" s="26"/>
      <c r="P189" s="26"/>
      <c r="Q189" s="26"/>
      <c r="R189" s="26"/>
      <c r="S189" s="26"/>
      <c r="T189" s="23"/>
      <c r="U189" s="8"/>
      <c r="V189" s="8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 x14ac:dyDescent="0.2">
      <c r="A190" s="21"/>
      <c r="B190" s="22"/>
      <c r="C190" s="22"/>
      <c r="D190" s="22"/>
      <c r="E190" s="22"/>
      <c r="F190" s="22"/>
      <c r="G190" s="22"/>
      <c r="H190" s="26"/>
      <c r="I190" s="26"/>
      <c r="J190" s="26"/>
      <c r="K190" s="21"/>
      <c r="L190" s="25"/>
      <c r="M190" s="26"/>
      <c r="N190" s="26"/>
      <c r="O190" s="26"/>
      <c r="P190" s="26"/>
      <c r="Q190" s="26"/>
      <c r="R190" s="26"/>
      <c r="S190" s="26"/>
      <c r="T190" s="23"/>
      <c r="U190" s="8"/>
      <c r="V190" s="8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 x14ac:dyDescent="0.2">
      <c r="A191" s="21"/>
      <c r="B191" s="22"/>
      <c r="C191" s="22"/>
      <c r="D191" s="22"/>
      <c r="E191" s="22"/>
      <c r="F191" s="22"/>
      <c r="G191" s="22"/>
      <c r="H191" s="26"/>
      <c r="I191" s="26"/>
      <c r="J191" s="26"/>
      <c r="K191" s="21"/>
      <c r="L191" s="25"/>
      <c r="M191" s="26"/>
      <c r="N191" s="26"/>
      <c r="O191" s="26"/>
      <c r="P191" s="26"/>
      <c r="Q191" s="26"/>
      <c r="R191" s="26"/>
      <c r="S191" s="26"/>
      <c r="T191" s="23"/>
      <c r="U191" s="8"/>
      <c r="V191" s="8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 x14ac:dyDescent="0.2">
      <c r="A192" s="21"/>
      <c r="B192" s="22"/>
      <c r="C192" s="22"/>
      <c r="D192" s="22"/>
      <c r="E192" s="22"/>
      <c r="F192" s="22"/>
      <c r="G192" s="22"/>
      <c r="H192" s="26"/>
      <c r="I192" s="26"/>
      <c r="J192" s="26"/>
      <c r="K192" s="21"/>
      <c r="L192" s="25"/>
      <c r="M192" s="26"/>
      <c r="N192" s="26"/>
      <c r="O192" s="26"/>
      <c r="P192" s="26"/>
      <c r="Q192" s="26"/>
      <c r="R192" s="26"/>
      <c r="S192" s="26"/>
      <c r="T192" s="23"/>
      <c r="U192" s="8"/>
      <c r="V192" s="8"/>
      <c r="W192" s="2"/>
      <c r="X192" s="2"/>
      <c r="Y192" s="2"/>
      <c r="Z192" s="2"/>
      <c r="AA192" s="2"/>
      <c r="AB192" s="2"/>
      <c r="AC192" s="2"/>
      <c r="AD192" s="2"/>
    </row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</sheetData>
  <hyperlinks>
    <hyperlink ref="D5" r:id="rId1" xr:uid="{C4867DAA-914E-304E-8EE4-0B8574B96ED6}"/>
    <hyperlink ref="D7" r:id="rId2" xr:uid="{7C7C9A1F-F1FC-6A47-BE2A-2394ACE1F1FD}"/>
    <hyperlink ref="D8" r:id="rId3" xr:uid="{0E29A0A1-AD62-2E45-A2E8-1C8F544D961D}"/>
    <hyperlink ref="D9" r:id="rId4" xr:uid="{3DA0801C-69C6-B54C-9CC4-F9C045273E70}"/>
    <hyperlink ref="D10" r:id="rId5" xr:uid="{995980C2-AEDF-BB40-ADD7-DE4A3C1AAE96}"/>
    <hyperlink ref="D11" r:id="rId6" xr:uid="{ADD833D7-34FF-4E41-8920-5440CB92E4BE}"/>
    <hyperlink ref="D6" r:id="rId7" xr:uid="{D02E12EE-CBE6-8643-AE29-604ECBDCD66C}"/>
    <hyperlink ref="D4" r:id="rId8" xr:uid="{4F48EEDD-C1C1-C840-9239-6F660C80865B}"/>
  </hyperlinks>
  <pageMargins left="0.7" right="0.7" top="0.75" bottom="0.75" header="0" footer="0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paysheets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Adipuram</dc:creator>
  <cp:lastModifiedBy>Shrithan Adipuram</cp:lastModifiedBy>
  <dcterms:created xsi:type="dcterms:W3CDTF">2025-06-20T12:56:01Z</dcterms:created>
  <dcterms:modified xsi:type="dcterms:W3CDTF">2025-06-21T13:42:02Z</dcterms:modified>
</cp:coreProperties>
</file>